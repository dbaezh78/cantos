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b\Github\cantos\doc-bk\"/>
    </mc:Choice>
  </mc:AlternateContent>
  <xr:revisionPtr revIDLastSave="0" documentId="13_ncr:1_{E8F7E30E-6C66-444D-8901-AE38BFADEC23}" xr6:coauthVersionLast="47" xr6:coauthVersionMax="47" xr10:uidLastSave="{00000000-0000-0000-0000-000000000000}"/>
  <bookViews>
    <workbookView xWindow="-120" yWindow="-120" windowWidth="38640" windowHeight="21120" xr2:uid="{5CE6F655-8B7A-47D1-AA81-6AF4062526C7}"/>
  </bookViews>
  <sheets>
    <sheet name="MARIA, MADRE MIA" sheetId="1" r:id="rId1"/>
  </sheets>
  <externalReferences>
    <externalReference r:id="rId2"/>
  </externalReferences>
  <definedNames>
    <definedName name="_xleta.INDIRECT" hidden="1" xlm="1">#NAME?</definedName>
    <definedName name="_xlpm.acc" hidden="1" xlm="1">#NAME?</definedName>
    <definedName name="_xlpm.acum" hidden="1" xlm="1">#NAME?</definedName>
    <definedName name="_xlpm.caracter" hidden="1" xlm="1">#NAME?</definedName>
    <definedName name="_xlpm.caracteres" hidden="1" xlm="1">#NAME?</definedName>
    <definedName name="_xlpm.i" hidden="1" xlm="1">#NAME?</definedName>
    <definedName name="_xlpm.reemplazos" hidden="1" xlm="1">#NAME?</definedName>
    <definedName name="_xlpm.texto" hidden="1" xlm="1">#NAME?</definedName>
    <definedName name="_xlpm.texto_limpio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8" i="1" l="1"/>
  <c r="F378" i="1"/>
  <c r="G378" i="1"/>
  <c r="H378" i="1"/>
  <c r="Q481" i="1" s="1"/>
  <c r="I378" i="1"/>
  <c r="J378" i="1"/>
  <c r="K378" i="1"/>
  <c r="Z481" i="1" s="1"/>
  <c r="AA481" i="1" s="1"/>
  <c r="L378" i="1"/>
  <c r="AE481" i="1" s="1"/>
  <c r="E379" i="1"/>
  <c r="F379" i="1"/>
  <c r="G379" i="1"/>
  <c r="H379" i="1"/>
  <c r="Q482" i="1" s="1"/>
  <c r="I379" i="1"/>
  <c r="J379" i="1"/>
  <c r="K379" i="1"/>
  <c r="Z482" i="1" s="1"/>
  <c r="L379" i="1"/>
  <c r="E380" i="1"/>
  <c r="F380" i="1"/>
  <c r="G380" i="1"/>
  <c r="H380" i="1"/>
  <c r="Q483" i="1" s="1"/>
  <c r="I380" i="1"/>
  <c r="J380" i="1"/>
  <c r="K380" i="1"/>
  <c r="L380" i="1"/>
  <c r="AE483" i="1" s="1"/>
  <c r="E381" i="1"/>
  <c r="F381" i="1"/>
  <c r="G381" i="1"/>
  <c r="H381" i="1"/>
  <c r="Q484" i="1" s="1"/>
  <c r="I381" i="1"/>
  <c r="J381" i="1"/>
  <c r="K381" i="1"/>
  <c r="L381" i="1"/>
  <c r="AE484" i="1" s="1"/>
  <c r="E382" i="1"/>
  <c r="F382" i="1"/>
  <c r="G382" i="1"/>
  <c r="H382" i="1"/>
  <c r="Q485" i="1" s="1"/>
  <c r="I382" i="1"/>
  <c r="J382" i="1"/>
  <c r="K382" i="1"/>
  <c r="Z485" i="1" s="1"/>
  <c r="AB485" i="1" s="1"/>
  <c r="L382" i="1"/>
  <c r="AE485" i="1" s="1"/>
  <c r="E383" i="1"/>
  <c r="F383" i="1"/>
  <c r="G383" i="1"/>
  <c r="H383" i="1"/>
  <c r="Q486" i="1" s="1"/>
  <c r="I383" i="1"/>
  <c r="J383" i="1"/>
  <c r="K383" i="1"/>
  <c r="Z486" i="1" s="1"/>
  <c r="AD486" i="1" s="1"/>
  <c r="L383" i="1"/>
  <c r="AE486" i="1" s="1"/>
  <c r="E384" i="1"/>
  <c r="F384" i="1"/>
  <c r="G384" i="1"/>
  <c r="H384" i="1"/>
  <c r="I384" i="1"/>
  <c r="J384" i="1"/>
  <c r="K384" i="1"/>
  <c r="Z487" i="1" s="1"/>
  <c r="L384" i="1"/>
  <c r="AE487" i="1" s="1"/>
  <c r="E385" i="1"/>
  <c r="F385" i="1"/>
  <c r="G385" i="1"/>
  <c r="H385" i="1"/>
  <c r="Q488" i="1" s="1"/>
  <c r="I385" i="1"/>
  <c r="J385" i="1"/>
  <c r="K385" i="1"/>
  <c r="Z488" i="1" s="1"/>
  <c r="L385" i="1"/>
  <c r="AE488" i="1" s="1"/>
  <c r="E386" i="1"/>
  <c r="F386" i="1"/>
  <c r="G386" i="1"/>
  <c r="H386" i="1"/>
  <c r="Q489" i="1" s="1"/>
  <c r="I386" i="1"/>
  <c r="J386" i="1"/>
  <c r="K386" i="1"/>
  <c r="Z489" i="1" s="1"/>
  <c r="L386" i="1"/>
  <c r="AE489" i="1" s="1"/>
  <c r="E387" i="1"/>
  <c r="F387" i="1"/>
  <c r="G387" i="1"/>
  <c r="H387" i="1"/>
  <c r="Q490" i="1" s="1"/>
  <c r="I387" i="1"/>
  <c r="J387" i="1"/>
  <c r="K387" i="1"/>
  <c r="Z490" i="1" s="1"/>
  <c r="L387" i="1"/>
  <c r="AE490" i="1" s="1"/>
  <c r="E388" i="1"/>
  <c r="F388" i="1"/>
  <c r="G388" i="1"/>
  <c r="H388" i="1"/>
  <c r="Q491" i="1" s="1"/>
  <c r="I388" i="1"/>
  <c r="J388" i="1"/>
  <c r="K388" i="1"/>
  <c r="Z491" i="1" s="1"/>
  <c r="L388" i="1"/>
  <c r="AE491" i="1" s="1"/>
  <c r="E389" i="1"/>
  <c r="F389" i="1"/>
  <c r="G389" i="1"/>
  <c r="H389" i="1"/>
  <c r="Q492" i="1" s="1"/>
  <c r="I389" i="1"/>
  <c r="J389" i="1"/>
  <c r="K389" i="1"/>
  <c r="Z492" i="1" s="1"/>
  <c r="L389" i="1"/>
  <c r="E390" i="1"/>
  <c r="F390" i="1"/>
  <c r="G390" i="1"/>
  <c r="H390" i="1"/>
  <c r="Q493" i="1" s="1"/>
  <c r="I390" i="1"/>
  <c r="J390" i="1"/>
  <c r="K390" i="1"/>
  <c r="Z493" i="1" s="1"/>
  <c r="AC493" i="1" s="1"/>
  <c r="L390" i="1"/>
  <c r="E391" i="1"/>
  <c r="F391" i="1"/>
  <c r="G391" i="1"/>
  <c r="H391" i="1"/>
  <c r="I391" i="1"/>
  <c r="J391" i="1"/>
  <c r="K391" i="1"/>
  <c r="Z494" i="1" s="1"/>
  <c r="L391" i="1"/>
  <c r="E392" i="1"/>
  <c r="F392" i="1"/>
  <c r="G392" i="1"/>
  <c r="H392" i="1"/>
  <c r="I392" i="1"/>
  <c r="J392" i="1"/>
  <c r="K392" i="1"/>
  <c r="L392" i="1"/>
  <c r="AE495" i="1" s="1"/>
  <c r="E393" i="1"/>
  <c r="F393" i="1"/>
  <c r="G393" i="1"/>
  <c r="H393" i="1"/>
  <c r="I393" i="1"/>
  <c r="J393" i="1"/>
  <c r="K393" i="1"/>
  <c r="L393" i="1"/>
  <c r="AE496" i="1" s="1"/>
  <c r="E394" i="1"/>
  <c r="F394" i="1"/>
  <c r="G394" i="1"/>
  <c r="H394" i="1"/>
  <c r="I394" i="1"/>
  <c r="J394" i="1"/>
  <c r="K394" i="1"/>
  <c r="Z497" i="1" s="1"/>
  <c r="L394" i="1"/>
  <c r="AE497" i="1" s="1"/>
  <c r="E395" i="1"/>
  <c r="F395" i="1"/>
  <c r="G395" i="1"/>
  <c r="H395" i="1"/>
  <c r="Q498" i="1" s="1"/>
  <c r="I395" i="1"/>
  <c r="J395" i="1"/>
  <c r="K395" i="1"/>
  <c r="Z498" i="1" s="1"/>
  <c r="AC498" i="1" s="1"/>
  <c r="L395" i="1"/>
  <c r="AE498" i="1" s="1"/>
  <c r="E396" i="1"/>
  <c r="F396" i="1"/>
  <c r="G396" i="1"/>
  <c r="H396" i="1"/>
  <c r="Q499" i="1" s="1"/>
  <c r="I396" i="1"/>
  <c r="J396" i="1"/>
  <c r="K396" i="1"/>
  <c r="Z499" i="1" s="1"/>
  <c r="L396" i="1"/>
  <c r="AE499" i="1" s="1"/>
  <c r="E397" i="1"/>
  <c r="F397" i="1"/>
  <c r="G397" i="1"/>
  <c r="H397" i="1"/>
  <c r="Q500" i="1" s="1"/>
  <c r="I397" i="1"/>
  <c r="J397" i="1"/>
  <c r="K397" i="1"/>
  <c r="Z500" i="1" s="1"/>
  <c r="L397" i="1"/>
  <c r="AE500" i="1" s="1"/>
  <c r="E398" i="1"/>
  <c r="F398" i="1"/>
  <c r="G398" i="1"/>
  <c r="H398" i="1"/>
  <c r="Q501" i="1" s="1"/>
  <c r="I398" i="1"/>
  <c r="J398" i="1"/>
  <c r="K398" i="1"/>
  <c r="Z501" i="1" s="1"/>
  <c r="L398" i="1"/>
  <c r="AE501" i="1" s="1"/>
  <c r="E399" i="1"/>
  <c r="F399" i="1"/>
  <c r="G399" i="1"/>
  <c r="H399" i="1"/>
  <c r="I399" i="1"/>
  <c r="J399" i="1"/>
  <c r="K399" i="1"/>
  <c r="Z502" i="1" s="1"/>
  <c r="L399" i="1"/>
  <c r="AE502" i="1" s="1"/>
  <c r="E400" i="1"/>
  <c r="F400" i="1"/>
  <c r="G400" i="1"/>
  <c r="H400" i="1"/>
  <c r="Q503" i="1" s="1"/>
  <c r="I400" i="1"/>
  <c r="J400" i="1"/>
  <c r="K400" i="1"/>
  <c r="Z503" i="1" s="1"/>
  <c r="AF503" i="1" s="1"/>
  <c r="L400" i="1"/>
  <c r="AE503" i="1" s="1"/>
  <c r="E401" i="1"/>
  <c r="F401" i="1"/>
  <c r="G401" i="1"/>
  <c r="H401" i="1"/>
  <c r="Q504" i="1" s="1"/>
  <c r="I401" i="1"/>
  <c r="J401" i="1"/>
  <c r="K401" i="1"/>
  <c r="Z504" i="1" s="1"/>
  <c r="L401" i="1"/>
  <c r="AE504" i="1" s="1"/>
  <c r="E402" i="1"/>
  <c r="F402" i="1"/>
  <c r="G402" i="1"/>
  <c r="H402" i="1"/>
  <c r="Q505" i="1" s="1"/>
  <c r="I402" i="1"/>
  <c r="J402" i="1"/>
  <c r="K402" i="1"/>
  <c r="Z505" i="1" s="1"/>
  <c r="L402" i="1"/>
  <c r="E403" i="1"/>
  <c r="F403" i="1"/>
  <c r="G403" i="1"/>
  <c r="H403" i="1"/>
  <c r="Q506" i="1" s="1"/>
  <c r="I403" i="1"/>
  <c r="J403" i="1"/>
  <c r="K403" i="1"/>
  <c r="Z506" i="1" s="1"/>
  <c r="L403" i="1"/>
  <c r="E404" i="1"/>
  <c r="F404" i="1"/>
  <c r="G404" i="1"/>
  <c r="H404" i="1"/>
  <c r="Q507" i="1" s="1"/>
  <c r="I404" i="1"/>
  <c r="J404" i="1"/>
  <c r="K404" i="1"/>
  <c r="L404" i="1"/>
  <c r="AE507" i="1" s="1"/>
  <c r="E405" i="1"/>
  <c r="F405" i="1"/>
  <c r="G405" i="1"/>
  <c r="H405" i="1"/>
  <c r="Q508" i="1" s="1"/>
  <c r="I405" i="1"/>
  <c r="J405" i="1"/>
  <c r="K405" i="1"/>
  <c r="L405" i="1"/>
  <c r="AE508" i="1" s="1"/>
  <c r="E406" i="1"/>
  <c r="F406" i="1"/>
  <c r="G406" i="1"/>
  <c r="H406" i="1"/>
  <c r="Q509" i="1" s="1"/>
  <c r="I406" i="1"/>
  <c r="J406" i="1"/>
  <c r="K406" i="1"/>
  <c r="L406" i="1"/>
  <c r="AE509" i="1" s="1"/>
  <c r="E407" i="1"/>
  <c r="F407" i="1"/>
  <c r="G407" i="1"/>
  <c r="H407" i="1"/>
  <c r="Q510" i="1" s="1"/>
  <c r="I407" i="1"/>
  <c r="J407" i="1"/>
  <c r="K407" i="1"/>
  <c r="L407" i="1"/>
  <c r="AE510" i="1" s="1"/>
  <c r="E408" i="1"/>
  <c r="F408" i="1"/>
  <c r="G408" i="1"/>
  <c r="H408" i="1"/>
  <c r="Q511" i="1" s="1"/>
  <c r="I408" i="1"/>
  <c r="J408" i="1"/>
  <c r="K408" i="1"/>
  <c r="Z511" i="1" s="1"/>
  <c r="L408" i="1"/>
  <c r="AE511" i="1" s="1"/>
  <c r="E409" i="1"/>
  <c r="F409" i="1"/>
  <c r="G409" i="1"/>
  <c r="H409" i="1"/>
  <c r="Q512" i="1" s="1"/>
  <c r="I409" i="1"/>
  <c r="J409" i="1"/>
  <c r="K409" i="1"/>
  <c r="Z512" i="1" s="1"/>
  <c r="L409" i="1"/>
  <c r="AE512" i="1" s="1"/>
  <c r="E410" i="1"/>
  <c r="F410" i="1"/>
  <c r="G410" i="1"/>
  <c r="H410" i="1"/>
  <c r="I410" i="1"/>
  <c r="J410" i="1"/>
  <c r="K410" i="1"/>
  <c r="Z513" i="1" s="1"/>
  <c r="L410" i="1"/>
  <c r="AE513" i="1" s="1"/>
  <c r="E411" i="1"/>
  <c r="F411" i="1"/>
  <c r="G411" i="1"/>
  <c r="H411" i="1"/>
  <c r="Q514" i="1" s="1"/>
  <c r="I411" i="1"/>
  <c r="J411" i="1"/>
  <c r="K411" i="1"/>
  <c r="Z514" i="1" s="1"/>
  <c r="L411" i="1"/>
  <c r="AE514" i="1" s="1"/>
  <c r="E412" i="1"/>
  <c r="F412" i="1"/>
  <c r="G412" i="1"/>
  <c r="H412" i="1"/>
  <c r="Q515" i="1" s="1"/>
  <c r="I412" i="1"/>
  <c r="J412" i="1"/>
  <c r="K412" i="1"/>
  <c r="Z515" i="1" s="1"/>
  <c r="L412" i="1"/>
  <c r="AE515" i="1" s="1"/>
  <c r="E413" i="1"/>
  <c r="F413" i="1"/>
  <c r="G413" i="1"/>
  <c r="H413" i="1"/>
  <c r="Q516" i="1" s="1"/>
  <c r="I413" i="1"/>
  <c r="J413" i="1"/>
  <c r="K413" i="1"/>
  <c r="Z516" i="1" s="1"/>
  <c r="L413" i="1"/>
  <c r="AE516" i="1" s="1"/>
  <c r="E414" i="1"/>
  <c r="F414" i="1"/>
  <c r="G414" i="1"/>
  <c r="H414" i="1"/>
  <c r="Q517" i="1" s="1"/>
  <c r="I414" i="1"/>
  <c r="J414" i="1"/>
  <c r="K414" i="1"/>
  <c r="Z517" i="1" s="1"/>
  <c r="L414" i="1"/>
  <c r="AE517" i="1" s="1"/>
  <c r="E415" i="1"/>
  <c r="F415" i="1"/>
  <c r="G415" i="1"/>
  <c r="H415" i="1"/>
  <c r="I415" i="1"/>
  <c r="J415" i="1"/>
  <c r="K415" i="1"/>
  <c r="Z518" i="1" s="1"/>
  <c r="AB518" i="1" s="1"/>
  <c r="L415" i="1"/>
  <c r="AE518" i="1" s="1"/>
  <c r="E416" i="1"/>
  <c r="F416" i="1"/>
  <c r="G416" i="1"/>
  <c r="H416" i="1"/>
  <c r="Q519" i="1" s="1"/>
  <c r="I416" i="1"/>
  <c r="J416" i="1"/>
  <c r="K416" i="1"/>
  <c r="Z519" i="1" s="1"/>
  <c r="L416" i="1"/>
  <c r="E417" i="1"/>
  <c r="F417" i="1"/>
  <c r="G417" i="1"/>
  <c r="H417" i="1"/>
  <c r="Q520" i="1" s="1"/>
  <c r="I417" i="1"/>
  <c r="J417" i="1"/>
  <c r="K417" i="1"/>
  <c r="Z520" i="1" s="1"/>
  <c r="L417" i="1"/>
  <c r="AE520" i="1" s="1"/>
  <c r="E418" i="1"/>
  <c r="F418" i="1"/>
  <c r="G418" i="1"/>
  <c r="H418" i="1"/>
  <c r="Q521" i="1" s="1"/>
  <c r="I418" i="1"/>
  <c r="J418" i="1"/>
  <c r="K418" i="1"/>
  <c r="Z521" i="1" s="1"/>
  <c r="AF521" i="1" s="1"/>
  <c r="L418" i="1"/>
  <c r="AE521" i="1" s="1"/>
  <c r="E419" i="1"/>
  <c r="F419" i="1"/>
  <c r="G419" i="1"/>
  <c r="H419" i="1"/>
  <c r="Q522" i="1" s="1"/>
  <c r="I419" i="1"/>
  <c r="J419" i="1"/>
  <c r="K419" i="1"/>
  <c r="L419" i="1"/>
  <c r="AE522" i="1" s="1"/>
  <c r="E420" i="1"/>
  <c r="F420" i="1"/>
  <c r="G420" i="1"/>
  <c r="H420" i="1"/>
  <c r="Q523" i="1" s="1"/>
  <c r="I420" i="1"/>
  <c r="J420" i="1"/>
  <c r="K420" i="1"/>
  <c r="Z523" i="1" s="1"/>
  <c r="AB523" i="1" s="1"/>
  <c r="L420" i="1"/>
  <c r="AE523" i="1" s="1"/>
  <c r="E421" i="1"/>
  <c r="F421" i="1"/>
  <c r="G421" i="1"/>
  <c r="H421" i="1"/>
  <c r="Q524" i="1" s="1"/>
  <c r="I421" i="1"/>
  <c r="J421" i="1"/>
  <c r="K421" i="1"/>
  <c r="Z524" i="1" s="1"/>
  <c r="AA524" i="1" s="1"/>
  <c r="L421" i="1"/>
  <c r="AE524" i="1" s="1"/>
  <c r="E422" i="1"/>
  <c r="F422" i="1"/>
  <c r="G422" i="1"/>
  <c r="H422" i="1"/>
  <c r="I422" i="1"/>
  <c r="J422" i="1"/>
  <c r="K422" i="1"/>
  <c r="Z525" i="1" s="1"/>
  <c r="L422" i="1"/>
  <c r="AE525" i="1" s="1"/>
  <c r="E423" i="1"/>
  <c r="F423" i="1"/>
  <c r="G423" i="1"/>
  <c r="H423" i="1"/>
  <c r="Q526" i="1" s="1"/>
  <c r="I423" i="1"/>
  <c r="J423" i="1"/>
  <c r="K423" i="1"/>
  <c r="Z526" i="1" s="1"/>
  <c r="AF526" i="1" s="1"/>
  <c r="L423" i="1"/>
  <c r="AE526" i="1" s="1"/>
  <c r="E424" i="1"/>
  <c r="F424" i="1"/>
  <c r="G424" i="1"/>
  <c r="H424" i="1"/>
  <c r="Q527" i="1" s="1"/>
  <c r="I424" i="1"/>
  <c r="J424" i="1"/>
  <c r="K424" i="1"/>
  <c r="Z527" i="1" s="1"/>
  <c r="AF527" i="1" s="1"/>
  <c r="L424" i="1"/>
  <c r="AE527" i="1" s="1"/>
  <c r="E425" i="1"/>
  <c r="F425" i="1"/>
  <c r="G425" i="1"/>
  <c r="H425" i="1"/>
  <c r="Q528" i="1" s="1"/>
  <c r="I425" i="1"/>
  <c r="J425" i="1"/>
  <c r="K425" i="1"/>
  <c r="Z528" i="1" s="1"/>
  <c r="AC528" i="1" s="1"/>
  <c r="L425" i="1"/>
  <c r="AE528" i="1" s="1"/>
  <c r="E426" i="1"/>
  <c r="F426" i="1"/>
  <c r="G426" i="1"/>
  <c r="H426" i="1"/>
  <c r="Q529" i="1" s="1"/>
  <c r="I426" i="1"/>
  <c r="J426" i="1"/>
  <c r="K426" i="1"/>
  <c r="Z529" i="1" s="1"/>
  <c r="AB529" i="1" s="1"/>
  <c r="L426" i="1"/>
  <c r="AE529" i="1" s="1"/>
  <c r="E427" i="1"/>
  <c r="F427" i="1"/>
  <c r="G427" i="1"/>
  <c r="H427" i="1"/>
  <c r="Q530" i="1" s="1"/>
  <c r="I427" i="1"/>
  <c r="S530" i="1" s="1"/>
  <c r="J427" i="1"/>
  <c r="K427" i="1"/>
  <c r="Z530" i="1" s="1"/>
  <c r="L427" i="1"/>
  <c r="AE530" i="1" s="1"/>
  <c r="E428" i="1"/>
  <c r="F428" i="1"/>
  <c r="G428" i="1"/>
  <c r="H428" i="1"/>
  <c r="Q531" i="1" s="1"/>
  <c r="I428" i="1"/>
  <c r="S531" i="1" s="1"/>
  <c r="J428" i="1"/>
  <c r="K428" i="1"/>
  <c r="Z531" i="1" s="1"/>
  <c r="L428" i="1"/>
  <c r="AE531" i="1" s="1"/>
  <c r="E429" i="1"/>
  <c r="F429" i="1"/>
  <c r="G429" i="1"/>
  <c r="H429" i="1"/>
  <c r="Q532" i="1" s="1"/>
  <c r="I429" i="1"/>
  <c r="J429" i="1"/>
  <c r="K429" i="1"/>
  <c r="Z532" i="1" s="1"/>
  <c r="L429" i="1"/>
  <c r="AE532" i="1" s="1"/>
  <c r="E430" i="1"/>
  <c r="F430" i="1"/>
  <c r="G430" i="1"/>
  <c r="H430" i="1"/>
  <c r="Q533" i="1" s="1"/>
  <c r="I430" i="1"/>
  <c r="S533" i="1" s="1"/>
  <c r="J430" i="1"/>
  <c r="K430" i="1"/>
  <c r="Z533" i="1" s="1"/>
  <c r="AF533" i="1" s="1"/>
  <c r="L430" i="1"/>
  <c r="AE533" i="1" s="1"/>
  <c r="E431" i="1"/>
  <c r="F431" i="1"/>
  <c r="G431" i="1"/>
  <c r="H431" i="1"/>
  <c r="Q534" i="1" s="1"/>
  <c r="I431" i="1"/>
  <c r="S534" i="1" s="1"/>
  <c r="U534" i="1" s="1"/>
  <c r="J431" i="1"/>
  <c r="K431" i="1"/>
  <c r="L431" i="1"/>
  <c r="AE534" i="1" s="1"/>
  <c r="E432" i="1"/>
  <c r="F432" i="1"/>
  <c r="G432" i="1"/>
  <c r="H432" i="1"/>
  <c r="Q535" i="1" s="1"/>
  <c r="I432" i="1"/>
  <c r="S535" i="1" s="1"/>
  <c r="J432" i="1"/>
  <c r="K432" i="1"/>
  <c r="L432" i="1"/>
  <c r="AE535" i="1" s="1"/>
  <c r="E433" i="1"/>
  <c r="F433" i="1"/>
  <c r="G433" i="1"/>
  <c r="H433" i="1"/>
  <c r="I433" i="1"/>
  <c r="S536" i="1" s="1"/>
  <c r="J433" i="1"/>
  <c r="K433" i="1"/>
  <c r="Z536" i="1" s="1"/>
  <c r="AA536" i="1" s="1"/>
  <c r="L433" i="1"/>
  <c r="AE536" i="1" s="1"/>
  <c r="E434" i="1"/>
  <c r="F434" i="1"/>
  <c r="G434" i="1"/>
  <c r="H434" i="1"/>
  <c r="Q537" i="1" s="1"/>
  <c r="I434" i="1"/>
  <c r="S537" i="1" s="1"/>
  <c r="Y537" i="1" s="1"/>
  <c r="J434" i="1"/>
  <c r="K434" i="1"/>
  <c r="Z537" i="1" s="1"/>
  <c r="L434" i="1"/>
  <c r="AE537" i="1" s="1"/>
  <c r="E435" i="1"/>
  <c r="F435" i="1"/>
  <c r="G435" i="1"/>
  <c r="H435" i="1"/>
  <c r="Q538" i="1" s="1"/>
  <c r="I435" i="1"/>
  <c r="J435" i="1"/>
  <c r="K435" i="1"/>
  <c r="Z538" i="1" s="1"/>
  <c r="AF538" i="1" s="1"/>
  <c r="L435" i="1"/>
  <c r="AE538" i="1" s="1"/>
  <c r="E436" i="1"/>
  <c r="F436" i="1"/>
  <c r="G436" i="1"/>
  <c r="H436" i="1"/>
  <c r="Q539" i="1" s="1"/>
  <c r="I436" i="1"/>
  <c r="S539" i="1" s="1"/>
  <c r="J436" i="1"/>
  <c r="K436" i="1"/>
  <c r="Z539" i="1" s="1"/>
  <c r="AF539" i="1" s="1"/>
  <c r="L436" i="1"/>
  <c r="AE539" i="1" s="1"/>
  <c r="E437" i="1"/>
  <c r="F437" i="1"/>
  <c r="G437" i="1"/>
  <c r="H437" i="1"/>
  <c r="Q540" i="1" s="1"/>
  <c r="I437" i="1"/>
  <c r="S540" i="1" s="1"/>
  <c r="J437" i="1"/>
  <c r="K437" i="1"/>
  <c r="Z540" i="1" s="1"/>
  <c r="L437" i="1"/>
  <c r="AE540" i="1" s="1"/>
  <c r="E438" i="1"/>
  <c r="F438" i="1"/>
  <c r="G438" i="1"/>
  <c r="H438" i="1"/>
  <c r="Q541" i="1" s="1"/>
  <c r="I438" i="1"/>
  <c r="S541" i="1" s="1"/>
  <c r="J438" i="1"/>
  <c r="K438" i="1"/>
  <c r="Z541" i="1" s="1"/>
  <c r="L438" i="1"/>
  <c r="AE541" i="1" s="1"/>
  <c r="E439" i="1"/>
  <c r="F439" i="1"/>
  <c r="G439" i="1"/>
  <c r="H439" i="1"/>
  <c r="Q542" i="1" s="1"/>
  <c r="I439" i="1"/>
  <c r="S542" i="1" s="1"/>
  <c r="J439" i="1"/>
  <c r="K439" i="1"/>
  <c r="Z542" i="1" s="1"/>
  <c r="L439" i="1"/>
  <c r="AE542" i="1" s="1"/>
  <c r="E440" i="1"/>
  <c r="F440" i="1"/>
  <c r="G440" i="1"/>
  <c r="H440" i="1"/>
  <c r="Q543" i="1" s="1"/>
  <c r="I440" i="1"/>
  <c r="S543" i="1" s="1"/>
  <c r="Y543" i="1" s="1"/>
  <c r="J440" i="1"/>
  <c r="K440" i="1"/>
  <c r="L440" i="1"/>
  <c r="AE543" i="1" s="1"/>
  <c r="E441" i="1"/>
  <c r="F441" i="1"/>
  <c r="G441" i="1"/>
  <c r="H441" i="1"/>
  <c r="Q544" i="1" s="1"/>
  <c r="I441" i="1"/>
  <c r="S544" i="1" s="1"/>
  <c r="Y544" i="1" s="1"/>
  <c r="J441" i="1"/>
  <c r="K441" i="1"/>
  <c r="L441" i="1"/>
  <c r="AE544" i="1" s="1"/>
  <c r="E442" i="1"/>
  <c r="F442" i="1"/>
  <c r="G442" i="1"/>
  <c r="H442" i="1"/>
  <c r="I442" i="1"/>
  <c r="S545" i="1" s="1"/>
  <c r="J442" i="1"/>
  <c r="K442" i="1"/>
  <c r="Z545" i="1" s="1"/>
  <c r="AF545" i="1" s="1"/>
  <c r="L442" i="1"/>
  <c r="AE545" i="1" s="1"/>
  <c r="E443" i="1"/>
  <c r="F443" i="1"/>
  <c r="G443" i="1"/>
  <c r="H443" i="1"/>
  <c r="Q546" i="1" s="1"/>
  <c r="I443" i="1"/>
  <c r="J443" i="1"/>
  <c r="K443" i="1"/>
  <c r="Z546" i="1" s="1"/>
  <c r="L443" i="1"/>
  <c r="AE546" i="1" s="1"/>
  <c r="E444" i="1"/>
  <c r="F444" i="1"/>
  <c r="G444" i="1"/>
  <c r="H444" i="1"/>
  <c r="Q547" i="1" s="1"/>
  <c r="I444" i="1"/>
  <c r="S547" i="1" s="1"/>
  <c r="Y547" i="1" s="1"/>
  <c r="J444" i="1"/>
  <c r="K444" i="1"/>
  <c r="Z547" i="1" s="1"/>
  <c r="L444" i="1"/>
  <c r="AE547" i="1" s="1"/>
  <c r="E445" i="1"/>
  <c r="F445" i="1"/>
  <c r="G445" i="1"/>
  <c r="H445" i="1"/>
  <c r="Q548" i="1" s="1"/>
  <c r="I445" i="1"/>
  <c r="S548" i="1" s="1"/>
  <c r="W548" i="1" s="1"/>
  <c r="J445" i="1"/>
  <c r="K445" i="1"/>
  <c r="Z548" i="1" s="1"/>
  <c r="L445" i="1"/>
  <c r="AE548" i="1" s="1"/>
  <c r="E446" i="1"/>
  <c r="F446" i="1"/>
  <c r="G446" i="1"/>
  <c r="H446" i="1"/>
  <c r="Q549" i="1" s="1"/>
  <c r="I446" i="1"/>
  <c r="J446" i="1"/>
  <c r="K446" i="1"/>
  <c r="Z549" i="1" s="1"/>
  <c r="L446" i="1"/>
  <c r="AE549" i="1" s="1"/>
  <c r="E447" i="1"/>
  <c r="F447" i="1"/>
  <c r="G447" i="1"/>
  <c r="H447" i="1"/>
  <c r="Q550" i="1" s="1"/>
  <c r="I447" i="1"/>
  <c r="S550" i="1" s="1"/>
  <c r="J447" i="1"/>
  <c r="K447" i="1"/>
  <c r="Z550" i="1" s="1"/>
  <c r="AF550" i="1" s="1"/>
  <c r="L447" i="1"/>
  <c r="AE550" i="1" s="1"/>
  <c r="E448" i="1"/>
  <c r="F448" i="1"/>
  <c r="G448" i="1"/>
  <c r="H448" i="1"/>
  <c r="Q551" i="1" s="1"/>
  <c r="I448" i="1"/>
  <c r="S551" i="1" s="1"/>
  <c r="J448" i="1"/>
  <c r="K448" i="1"/>
  <c r="Z551" i="1" s="1"/>
  <c r="L448" i="1"/>
  <c r="AE551" i="1" s="1"/>
  <c r="E449" i="1"/>
  <c r="F449" i="1"/>
  <c r="G449" i="1"/>
  <c r="H449" i="1"/>
  <c r="Q552" i="1" s="1"/>
  <c r="I449" i="1"/>
  <c r="S552" i="1" s="1"/>
  <c r="J449" i="1"/>
  <c r="K449" i="1"/>
  <c r="Z552" i="1" s="1"/>
  <c r="AC552" i="1" s="1"/>
  <c r="L449" i="1"/>
  <c r="AE552" i="1" s="1"/>
  <c r="E450" i="1"/>
  <c r="F450" i="1"/>
  <c r="G450" i="1"/>
  <c r="H450" i="1"/>
  <c r="I450" i="1"/>
  <c r="S553" i="1" s="1"/>
  <c r="J450" i="1"/>
  <c r="K450" i="1"/>
  <c r="L450" i="1"/>
  <c r="AE553" i="1" s="1"/>
  <c r="E451" i="1"/>
  <c r="F451" i="1"/>
  <c r="G451" i="1"/>
  <c r="H451" i="1"/>
  <c r="Q554" i="1" s="1"/>
  <c r="I451" i="1"/>
  <c r="S554" i="1" s="1"/>
  <c r="V554" i="1" s="1"/>
  <c r="J451" i="1"/>
  <c r="K451" i="1"/>
  <c r="L451" i="1"/>
  <c r="AE554" i="1" s="1"/>
  <c r="E452" i="1"/>
  <c r="F452" i="1"/>
  <c r="G452" i="1"/>
  <c r="H452" i="1"/>
  <c r="Q555" i="1" s="1"/>
  <c r="I452" i="1"/>
  <c r="S555" i="1" s="1"/>
  <c r="Y555" i="1" s="1"/>
  <c r="J452" i="1"/>
  <c r="K452" i="1"/>
  <c r="Z555" i="1" s="1"/>
  <c r="L452" i="1"/>
  <c r="AE555" i="1" s="1"/>
  <c r="E453" i="1"/>
  <c r="F453" i="1"/>
  <c r="G453" i="1"/>
  <c r="H453" i="1"/>
  <c r="Q556" i="1" s="1"/>
  <c r="I453" i="1"/>
  <c r="J453" i="1"/>
  <c r="K453" i="1"/>
  <c r="Z556" i="1" s="1"/>
  <c r="AF556" i="1" s="1"/>
  <c r="L453" i="1"/>
  <c r="AE556" i="1" s="1"/>
  <c r="E454" i="1"/>
  <c r="F454" i="1"/>
  <c r="G454" i="1"/>
  <c r="H454" i="1"/>
  <c r="Q557" i="1" s="1"/>
  <c r="I454" i="1"/>
  <c r="S557" i="1" s="1"/>
  <c r="J454" i="1"/>
  <c r="K454" i="1"/>
  <c r="Z557" i="1" s="1"/>
  <c r="AF557" i="1" s="1"/>
  <c r="L454" i="1"/>
  <c r="AE557" i="1" s="1"/>
  <c r="E455" i="1"/>
  <c r="F455" i="1"/>
  <c r="G455" i="1"/>
  <c r="H455" i="1"/>
  <c r="I455" i="1"/>
  <c r="J455" i="1"/>
  <c r="K455" i="1"/>
  <c r="Z558" i="1" s="1"/>
  <c r="AA558" i="1" s="1"/>
  <c r="L455" i="1"/>
  <c r="AE558" i="1" s="1"/>
  <c r="E456" i="1"/>
  <c r="F456" i="1"/>
  <c r="G456" i="1"/>
  <c r="H456" i="1"/>
  <c r="Q559" i="1" s="1"/>
  <c r="I456" i="1"/>
  <c r="S559" i="1" s="1"/>
  <c r="V559" i="1" s="1"/>
  <c r="J456" i="1"/>
  <c r="K456" i="1"/>
  <c r="Z559" i="1" s="1"/>
  <c r="L456" i="1"/>
  <c r="AE559" i="1" s="1"/>
  <c r="E457" i="1"/>
  <c r="F457" i="1"/>
  <c r="G457" i="1"/>
  <c r="H457" i="1"/>
  <c r="Q560" i="1" s="1"/>
  <c r="I457" i="1"/>
  <c r="S560" i="1" s="1"/>
  <c r="J457" i="1"/>
  <c r="K457" i="1"/>
  <c r="Z560" i="1" s="1"/>
  <c r="AC560" i="1" s="1"/>
  <c r="L457" i="1"/>
  <c r="AE560" i="1" s="1"/>
  <c r="E458" i="1"/>
  <c r="F458" i="1"/>
  <c r="G458" i="1"/>
  <c r="H458" i="1"/>
  <c r="Q561" i="1" s="1"/>
  <c r="I458" i="1"/>
  <c r="S561" i="1" s="1"/>
  <c r="Y561" i="1" s="1"/>
  <c r="J458" i="1"/>
  <c r="K458" i="1"/>
  <c r="Z561" i="1" s="1"/>
  <c r="L458" i="1"/>
  <c r="AE561" i="1" s="1"/>
  <c r="E459" i="1"/>
  <c r="F459" i="1"/>
  <c r="G459" i="1"/>
  <c r="H459" i="1"/>
  <c r="Q562" i="1" s="1"/>
  <c r="I459" i="1"/>
  <c r="S562" i="1" s="1"/>
  <c r="Y562" i="1" s="1"/>
  <c r="J459" i="1"/>
  <c r="K459" i="1"/>
  <c r="Z562" i="1" s="1"/>
  <c r="AF562" i="1" s="1"/>
  <c r="L459" i="1"/>
  <c r="AE562" i="1" s="1"/>
  <c r="E460" i="1"/>
  <c r="F460" i="1"/>
  <c r="G460" i="1"/>
  <c r="H460" i="1"/>
  <c r="I460" i="1"/>
  <c r="S563" i="1" s="1"/>
  <c r="J460" i="1"/>
  <c r="K460" i="1"/>
  <c r="Z563" i="1" s="1"/>
  <c r="AF563" i="1" s="1"/>
  <c r="L460" i="1"/>
  <c r="AE563" i="1" s="1"/>
  <c r="E461" i="1"/>
  <c r="F461" i="1"/>
  <c r="G461" i="1"/>
  <c r="H461" i="1"/>
  <c r="Q564" i="1" s="1"/>
  <c r="I461" i="1"/>
  <c r="S564" i="1" s="1"/>
  <c r="J461" i="1"/>
  <c r="K461" i="1"/>
  <c r="Z564" i="1" s="1"/>
  <c r="L461" i="1"/>
  <c r="AE564" i="1" s="1"/>
  <c r="E462" i="1"/>
  <c r="F462" i="1"/>
  <c r="G462" i="1"/>
  <c r="H462" i="1"/>
  <c r="Q565" i="1" s="1"/>
  <c r="I462" i="1"/>
  <c r="S565" i="1" s="1"/>
  <c r="U565" i="1" s="1"/>
  <c r="J462" i="1"/>
  <c r="K462" i="1"/>
  <c r="Z565" i="1" s="1"/>
  <c r="L462" i="1"/>
  <c r="AE565" i="1" s="1"/>
  <c r="E463" i="1"/>
  <c r="F463" i="1"/>
  <c r="G463" i="1"/>
  <c r="H463" i="1"/>
  <c r="Q566" i="1" s="1"/>
  <c r="I463" i="1"/>
  <c r="J463" i="1"/>
  <c r="K463" i="1"/>
  <c r="Z566" i="1" s="1"/>
  <c r="AC566" i="1" s="1"/>
  <c r="L463" i="1"/>
  <c r="AE566" i="1" s="1"/>
  <c r="E464" i="1"/>
  <c r="F464" i="1"/>
  <c r="G464" i="1"/>
  <c r="H464" i="1"/>
  <c r="Q567" i="1" s="1"/>
  <c r="I464" i="1"/>
  <c r="S567" i="1" s="1"/>
  <c r="T567" i="1" s="1"/>
  <c r="J464" i="1"/>
  <c r="K464" i="1"/>
  <c r="Z567" i="1" s="1"/>
  <c r="AF567" i="1" s="1"/>
  <c r="L464" i="1"/>
  <c r="AE567" i="1" s="1"/>
  <c r="E465" i="1"/>
  <c r="F465" i="1"/>
  <c r="G465" i="1"/>
  <c r="H465" i="1"/>
  <c r="Q568" i="1" s="1"/>
  <c r="I465" i="1"/>
  <c r="J465" i="1"/>
  <c r="K465" i="1"/>
  <c r="Z568" i="1" s="1"/>
  <c r="AA568" i="1" s="1"/>
  <c r="L465" i="1"/>
  <c r="AE568" i="1" s="1"/>
  <c r="E466" i="1"/>
  <c r="F466" i="1"/>
  <c r="G466" i="1"/>
  <c r="H466" i="1"/>
  <c r="Q569" i="1" s="1"/>
  <c r="I466" i="1"/>
  <c r="S569" i="1" s="1"/>
  <c r="J466" i="1"/>
  <c r="K466" i="1"/>
  <c r="Z569" i="1" s="1"/>
  <c r="AF569" i="1" s="1"/>
  <c r="L466" i="1"/>
  <c r="AE569" i="1" s="1"/>
  <c r="E467" i="1"/>
  <c r="F467" i="1"/>
  <c r="G467" i="1"/>
  <c r="H467" i="1"/>
  <c r="Q570" i="1" s="1"/>
  <c r="I467" i="1"/>
  <c r="S570" i="1" s="1"/>
  <c r="J467" i="1"/>
  <c r="K467" i="1"/>
  <c r="Z570" i="1" s="1"/>
  <c r="AC570" i="1" s="1"/>
  <c r="L467" i="1"/>
  <c r="AE570" i="1" s="1"/>
  <c r="E468" i="1"/>
  <c r="F468" i="1"/>
  <c r="G468" i="1"/>
  <c r="H468" i="1"/>
  <c r="Q571" i="1" s="1"/>
  <c r="I468" i="1"/>
  <c r="S571" i="1" s="1"/>
  <c r="J468" i="1"/>
  <c r="K468" i="1"/>
  <c r="L468" i="1"/>
  <c r="AE571" i="1" s="1"/>
  <c r="E469" i="1"/>
  <c r="F469" i="1"/>
  <c r="G469" i="1"/>
  <c r="H469" i="1"/>
  <c r="Q572" i="1" s="1"/>
  <c r="I469" i="1"/>
  <c r="S572" i="1" s="1"/>
  <c r="W572" i="1" s="1"/>
  <c r="J469" i="1"/>
  <c r="K469" i="1"/>
  <c r="L469" i="1"/>
  <c r="AE572" i="1" s="1"/>
  <c r="E470" i="1"/>
  <c r="F470" i="1"/>
  <c r="G470" i="1"/>
  <c r="H470" i="1"/>
  <c r="Q573" i="1" s="1"/>
  <c r="I470" i="1"/>
  <c r="S573" i="1" s="1"/>
  <c r="J470" i="1"/>
  <c r="K470" i="1"/>
  <c r="Z573" i="1" s="1"/>
  <c r="L470" i="1"/>
  <c r="AE573" i="1" s="1"/>
  <c r="E471" i="1"/>
  <c r="F471" i="1"/>
  <c r="G471" i="1"/>
  <c r="H471" i="1"/>
  <c r="Q574" i="1" s="1"/>
  <c r="I471" i="1"/>
  <c r="S574" i="1" s="1"/>
  <c r="J471" i="1"/>
  <c r="K471" i="1"/>
  <c r="Z574" i="1" s="1"/>
  <c r="L471" i="1"/>
  <c r="AE574" i="1" s="1"/>
  <c r="E472" i="1"/>
  <c r="F472" i="1"/>
  <c r="G472" i="1"/>
  <c r="H472" i="1"/>
  <c r="Q575" i="1" s="1"/>
  <c r="I472" i="1"/>
  <c r="J472" i="1"/>
  <c r="K472" i="1"/>
  <c r="Z575" i="1" s="1"/>
  <c r="AA575" i="1" s="1"/>
  <c r="L472" i="1"/>
  <c r="AE575" i="1" s="1"/>
  <c r="E473" i="1"/>
  <c r="F473" i="1"/>
  <c r="G473" i="1"/>
  <c r="H473" i="1"/>
  <c r="Q576" i="1" s="1"/>
  <c r="I473" i="1"/>
  <c r="S576" i="1" s="1"/>
  <c r="J473" i="1"/>
  <c r="K473" i="1"/>
  <c r="Z576" i="1" s="1"/>
  <c r="L473" i="1"/>
  <c r="AE576" i="1" s="1"/>
  <c r="E474" i="1"/>
  <c r="F474" i="1"/>
  <c r="G474" i="1"/>
  <c r="H474" i="1"/>
  <c r="Q577" i="1" s="1"/>
  <c r="I474" i="1"/>
  <c r="S577" i="1" s="1"/>
  <c r="J474" i="1"/>
  <c r="K474" i="1"/>
  <c r="Z577" i="1" s="1"/>
  <c r="AB577" i="1" s="1"/>
  <c r="L474" i="1"/>
  <c r="AE577" i="1" s="1"/>
  <c r="E475" i="1"/>
  <c r="F475" i="1"/>
  <c r="G475" i="1"/>
  <c r="H475" i="1"/>
  <c r="Q578" i="1" s="1"/>
  <c r="I475" i="1"/>
  <c r="J475" i="1"/>
  <c r="K475" i="1"/>
  <c r="Z578" i="1" s="1"/>
  <c r="L475" i="1"/>
  <c r="AE578" i="1" s="1"/>
  <c r="E476" i="1"/>
  <c r="F476" i="1"/>
  <c r="G476" i="1"/>
  <c r="H476" i="1"/>
  <c r="Q579" i="1" s="1"/>
  <c r="I476" i="1"/>
  <c r="S579" i="1" s="1"/>
  <c r="U579" i="1" s="1"/>
  <c r="J476" i="1"/>
  <c r="K476" i="1"/>
  <c r="Z579" i="1" s="1"/>
  <c r="L476" i="1"/>
  <c r="AE579" i="1" s="1"/>
  <c r="E477" i="1"/>
  <c r="F477" i="1"/>
  <c r="G477" i="1"/>
  <c r="H477" i="1"/>
  <c r="Q580" i="1" s="1"/>
  <c r="I477" i="1"/>
  <c r="S580" i="1" s="1"/>
  <c r="Y580" i="1" s="1"/>
  <c r="J477" i="1"/>
  <c r="K477" i="1"/>
  <c r="Z580" i="1" s="1"/>
  <c r="L477" i="1"/>
  <c r="AE580" i="1" s="1"/>
  <c r="E478" i="1"/>
  <c r="F478" i="1"/>
  <c r="G478" i="1"/>
  <c r="H478" i="1"/>
  <c r="Q581" i="1" s="1"/>
  <c r="I478" i="1"/>
  <c r="S581" i="1" s="1"/>
  <c r="W581" i="1" s="1"/>
  <c r="J478" i="1"/>
  <c r="K478" i="1"/>
  <c r="L478" i="1"/>
  <c r="AE581" i="1" s="1"/>
  <c r="X529" i="1"/>
  <c r="S529" i="1"/>
  <c r="T529" i="1" s="1"/>
  <c r="L529" i="1"/>
  <c r="R529" i="1" s="1"/>
  <c r="J529" i="1"/>
  <c r="F529" i="1"/>
  <c r="K529" i="1" s="1"/>
  <c r="X528" i="1"/>
  <c r="S528" i="1"/>
  <c r="U528" i="1" s="1"/>
  <c r="L528" i="1"/>
  <c r="M528" i="1" s="1"/>
  <c r="J528" i="1"/>
  <c r="F528" i="1"/>
  <c r="K528" i="1" s="1"/>
  <c r="X527" i="1"/>
  <c r="S527" i="1"/>
  <c r="W527" i="1" s="1"/>
  <c r="L527" i="1"/>
  <c r="P527" i="1" s="1"/>
  <c r="J527" i="1"/>
  <c r="F527" i="1"/>
  <c r="H527" i="1" s="1"/>
  <c r="X526" i="1"/>
  <c r="S526" i="1"/>
  <c r="Y526" i="1" s="1"/>
  <c r="L526" i="1"/>
  <c r="P526" i="1" s="1"/>
  <c r="J526" i="1"/>
  <c r="F526" i="1"/>
  <c r="H526" i="1" s="1"/>
  <c r="X525" i="1"/>
  <c r="S525" i="1"/>
  <c r="Y525" i="1" s="1"/>
  <c r="Q525" i="1"/>
  <c r="L525" i="1"/>
  <c r="R525" i="1" s="1"/>
  <c r="J525" i="1"/>
  <c r="F525" i="1"/>
  <c r="H525" i="1" s="1"/>
  <c r="X524" i="1"/>
  <c r="S524" i="1"/>
  <c r="Y524" i="1" s="1"/>
  <c r="L524" i="1"/>
  <c r="R524" i="1" s="1"/>
  <c r="J524" i="1"/>
  <c r="F524" i="1"/>
  <c r="H524" i="1" s="1"/>
  <c r="X523" i="1"/>
  <c r="S523" i="1"/>
  <c r="T523" i="1" s="1"/>
  <c r="L523" i="1"/>
  <c r="N523" i="1" s="1"/>
  <c r="J523" i="1"/>
  <c r="F523" i="1"/>
  <c r="K523" i="1" s="1"/>
  <c r="Z522" i="1"/>
  <c r="AC522" i="1" s="1"/>
  <c r="X522" i="1"/>
  <c r="S522" i="1"/>
  <c r="U522" i="1" s="1"/>
  <c r="O522" i="1"/>
  <c r="L522" i="1"/>
  <c r="M522" i="1" s="1"/>
  <c r="J522" i="1"/>
  <c r="F522" i="1"/>
  <c r="K522" i="1" s="1"/>
  <c r="X521" i="1"/>
  <c r="S521" i="1"/>
  <c r="W521" i="1" s="1"/>
  <c r="L521" i="1"/>
  <c r="P521" i="1" s="1"/>
  <c r="K521" i="1"/>
  <c r="J521" i="1"/>
  <c r="F521" i="1"/>
  <c r="H521" i="1" s="1"/>
  <c r="D528" i="1"/>
  <c r="C528" i="1" s="1"/>
  <c r="Z581" i="1"/>
  <c r="AF581" i="1" s="1"/>
  <c r="X581" i="1"/>
  <c r="L581" i="1"/>
  <c r="J581" i="1"/>
  <c r="F581" i="1"/>
  <c r="D478" i="1"/>
  <c r="D581" i="1" s="1"/>
  <c r="C581" i="1" s="1"/>
  <c r="X580" i="1"/>
  <c r="L580" i="1"/>
  <c r="P580" i="1" s="1"/>
  <c r="J580" i="1"/>
  <c r="F580" i="1"/>
  <c r="K580" i="1" s="1"/>
  <c r="D477" i="1"/>
  <c r="C477" i="1" s="1"/>
  <c r="X579" i="1"/>
  <c r="L579" i="1"/>
  <c r="R579" i="1" s="1"/>
  <c r="J579" i="1"/>
  <c r="F579" i="1"/>
  <c r="D476" i="1"/>
  <c r="D579" i="1" s="1"/>
  <c r="C579" i="1" s="1"/>
  <c r="X578" i="1"/>
  <c r="S578" i="1"/>
  <c r="V578" i="1" s="1"/>
  <c r="L578" i="1"/>
  <c r="J578" i="1"/>
  <c r="F578" i="1"/>
  <c r="H578" i="1" s="1"/>
  <c r="D475" i="1"/>
  <c r="D578" i="1" s="1"/>
  <c r="C578" i="1" s="1"/>
  <c r="X577" i="1"/>
  <c r="L577" i="1"/>
  <c r="J577" i="1"/>
  <c r="F577" i="1"/>
  <c r="K577" i="1" s="1"/>
  <c r="D474" i="1"/>
  <c r="D577" i="1" s="1"/>
  <c r="C577" i="1" s="1"/>
  <c r="X576" i="1"/>
  <c r="L576" i="1"/>
  <c r="J576" i="1"/>
  <c r="F576" i="1"/>
  <c r="K576" i="1" s="1"/>
  <c r="D473" i="1"/>
  <c r="D576" i="1" s="1"/>
  <c r="C576" i="1" s="1"/>
  <c r="X575" i="1"/>
  <c r="S575" i="1"/>
  <c r="L575" i="1"/>
  <c r="P575" i="1" s="1"/>
  <c r="J575" i="1"/>
  <c r="D472" i="1"/>
  <c r="D575" i="1" s="1"/>
  <c r="C575" i="1" s="1"/>
  <c r="X574" i="1"/>
  <c r="L574" i="1"/>
  <c r="J574" i="1"/>
  <c r="F574" i="1"/>
  <c r="D471" i="1"/>
  <c r="D574" i="1" s="1"/>
  <c r="C574" i="1" s="1"/>
  <c r="X573" i="1"/>
  <c r="L573" i="1"/>
  <c r="J573" i="1"/>
  <c r="F573" i="1"/>
  <c r="D470" i="1"/>
  <c r="D573" i="1" s="1"/>
  <c r="C573" i="1" s="1"/>
  <c r="Z572" i="1"/>
  <c r="X572" i="1"/>
  <c r="L572" i="1"/>
  <c r="J572" i="1"/>
  <c r="F572" i="1"/>
  <c r="K572" i="1" s="1"/>
  <c r="D469" i="1"/>
  <c r="C469" i="1" s="1"/>
  <c r="Z571" i="1"/>
  <c r="AA571" i="1" s="1"/>
  <c r="X571" i="1"/>
  <c r="L571" i="1"/>
  <c r="J571" i="1"/>
  <c r="F571" i="1"/>
  <c r="K571" i="1" s="1"/>
  <c r="D468" i="1"/>
  <c r="D571" i="1" s="1"/>
  <c r="C571" i="1" s="1"/>
  <c r="X570" i="1"/>
  <c r="L570" i="1"/>
  <c r="J570" i="1"/>
  <c r="F570" i="1"/>
  <c r="K570" i="1" s="1"/>
  <c r="D467" i="1"/>
  <c r="D570" i="1" s="1"/>
  <c r="C570" i="1" s="1"/>
  <c r="X569" i="1"/>
  <c r="L569" i="1"/>
  <c r="J569" i="1"/>
  <c r="F569" i="1"/>
  <c r="D466" i="1"/>
  <c r="D569" i="1" s="1"/>
  <c r="C569" i="1" s="1"/>
  <c r="X568" i="1"/>
  <c r="S568" i="1"/>
  <c r="Y568" i="1" s="1"/>
  <c r="L568" i="1"/>
  <c r="J568" i="1"/>
  <c r="F568" i="1"/>
  <c r="D465" i="1"/>
  <c r="D568" i="1" s="1"/>
  <c r="C568" i="1" s="1"/>
  <c r="X567" i="1"/>
  <c r="L567" i="1"/>
  <c r="R567" i="1" s="1"/>
  <c r="J567" i="1"/>
  <c r="D464" i="1"/>
  <c r="D567" i="1" s="1"/>
  <c r="C567" i="1" s="1"/>
  <c r="X566" i="1"/>
  <c r="S566" i="1"/>
  <c r="T566" i="1" s="1"/>
  <c r="L566" i="1"/>
  <c r="M566" i="1" s="1"/>
  <c r="J566" i="1"/>
  <c r="F566" i="1"/>
  <c r="D463" i="1"/>
  <c r="D566" i="1" s="1"/>
  <c r="C566" i="1" s="1"/>
  <c r="X565" i="1"/>
  <c r="L565" i="1"/>
  <c r="M565" i="1" s="1"/>
  <c r="J565" i="1"/>
  <c r="F565" i="1"/>
  <c r="K565" i="1" s="1"/>
  <c r="D462" i="1"/>
  <c r="D565" i="1" s="1"/>
  <c r="C565" i="1" s="1"/>
  <c r="X564" i="1"/>
  <c r="L564" i="1"/>
  <c r="J564" i="1"/>
  <c r="F564" i="1"/>
  <c r="K564" i="1" s="1"/>
  <c r="D461" i="1"/>
  <c r="X563" i="1"/>
  <c r="Q563" i="1"/>
  <c r="L563" i="1"/>
  <c r="J563" i="1"/>
  <c r="F563" i="1"/>
  <c r="D460" i="1"/>
  <c r="D563" i="1" s="1"/>
  <c r="C563" i="1" s="1"/>
  <c r="X562" i="1"/>
  <c r="L562" i="1"/>
  <c r="J562" i="1"/>
  <c r="F562" i="1"/>
  <c r="D459" i="1"/>
  <c r="D562" i="1" s="1"/>
  <c r="C562" i="1" s="1"/>
  <c r="X561" i="1"/>
  <c r="L561" i="1"/>
  <c r="R561" i="1" s="1"/>
  <c r="J561" i="1"/>
  <c r="F561" i="1"/>
  <c r="D458" i="1"/>
  <c r="D561" i="1" s="1"/>
  <c r="C561" i="1" s="1"/>
  <c r="X560" i="1"/>
  <c r="L560" i="1"/>
  <c r="R560" i="1" s="1"/>
  <c r="J560" i="1"/>
  <c r="F560" i="1"/>
  <c r="D457" i="1"/>
  <c r="D560" i="1" s="1"/>
  <c r="C560" i="1" s="1"/>
  <c r="X559" i="1"/>
  <c r="L559" i="1"/>
  <c r="J559" i="1"/>
  <c r="F559" i="1"/>
  <c r="K559" i="1" s="1"/>
  <c r="D456" i="1"/>
  <c r="D559" i="1" s="1"/>
  <c r="C559" i="1" s="1"/>
  <c r="X558" i="1"/>
  <c r="S558" i="1"/>
  <c r="Q558" i="1"/>
  <c r="L558" i="1"/>
  <c r="J558" i="1"/>
  <c r="D455" i="1"/>
  <c r="D558" i="1" s="1"/>
  <c r="C558" i="1" s="1"/>
  <c r="X557" i="1"/>
  <c r="L557" i="1"/>
  <c r="P557" i="1" s="1"/>
  <c r="J557" i="1"/>
  <c r="F557" i="1"/>
  <c r="D454" i="1"/>
  <c r="D557" i="1" s="1"/>
  <c r="C557" i="1" s="1"/>
  <c r="X556" i="1"/>
  <c r="S556" i="1"/>
  <c r="Y556" i="1" s="1"/>
  <c r="L556" i="1"/>
  <c r="J556" i="1"/>
  <c r="F556" i="1"/>
  <c r="D453" i="1"/>
  <c r="C453" i="1" s="1"/>
  <c r="X555" i="1"/>
  <c r="L555" i="1"/>
  <c r="R555" i="1" s="1"/>
  <c r="J555" i="1"/>
  <c r="F555" i="1"/>
  <c r="D452" i="1"/>
  <c r="D555" i="1" s="1"/>
  <c r="C555" i="1" s="1"/>
  <c r="Z554" i="1"/>
  <c r="AF554" i="1" s="1"/>
  <c r="X554" i="1"/>
  <c r="L554" i="1"/>
  <c r="R554" i="1" s="1"/>
  <c r="J554" i="1"/>
  <c r="F554" i="1"/>
  <c r="D451" i="1"/>
  <c r="D554" i="1" s="1"/>
  <c r="C554" i="1" s="1"/>
  <c r="Z553" i="1"/>
  <c r="X553" i="1"/>
  <c r="Q553" i="1"/>
  <c r="L553" i="1"/>
  <c r="J553" i="1"/>
  <c r="F553" i="1"/>
  <c r="D450" i="1"/>
  <c r="D553" i="1" s="1"/>
  <c r="C553" i="1" s="1"/>
  <c r="X552" i="1"/>
  <c r="L552" i="1"/>
  <c r="J552" i="1"/>
  <c r="D449" i="1"/>
  <c r="D552" i="1" s="1"/>
  <c r="C552" i="1" s="1"/>
  <c r="X551" i="1"/>
  <c r="L551" i="1"/>
  <c r="P551" i="1" s="1"/>
  <c r="J551" i="1"/>
  <c r="F551" i="1"/>
  <c r="D448" i="1"/>
  <c r="D551" i="1" s="1"/>
  <c r="C551" i="1" s="1"/>
  <c r="X550" i="1"/>
  <c r="L550" i="1"/>
  <c r="J550" i="1"/>
  <c r="D447" i="1"/>
  <c r="D550" i="1" s="1"/>
  <c r="C550" i="1" s="1"/>
  <c r="X549" i="1"/>
  <c r="S549" i="1"/>
  <c r="Y549" i="1" s="1"/>
  <c r="L549" i="1"/>
  <c r="J549" i="1"/>
  <c r="F549" i="1"/>
  <c r="K549" i="1" s="1"/>
  <c r="D446" i="1"/>
  <c r="D549" i="1" s="1"/>
  <c r="C549" i="1" s="1"/>
  <c r="X548" i="1"/>
  <c r="L548" i="1"/>
  <c r="R548" i="1" s="1"/>
  <c r="J548" i="1"/>
  <c r="F548" i="1"/>
  <c r="K548" i="1" s="1"/>
  <c r="D445" i="1"/>
  <c r="D548" i="1" s="1"/>
  <c r="C548" i="1" s="1"/>
  <c r="X547" i="1"/>
  <c r="L547" i="1"/>
  <c r="N547" i="1" s="1"/>
  <c r="J547" i="1"/>
  <c r="F547" i="1"/>
  <c r="K547" i="1" s="1"/>
  <c r="D444" i="1"/>
  <c r="D547" i="1" s="1"/>
  <c r="C547" i="1" s="1"/>
  <c r="X546" i="1"/>
  <c r="S546" i="1"/>
  <c r="Y546" i="1" s="1"/>
  <c r="L546" i="1"/>
  <c r="J546" i="1"/>
  <c r="F546" i="1"/>
  <c r="D443" i="1"/>
  <c r="D546" i="1" s="1"/>
  <c r="C546" i="1" s="1"/>
  <c r="X545" i="1"/>
  <c r="Q545" i="1"/>
  <c r="L545" i="1"/>
  <c r="J545" i="1"/>
  <c r="F545" i="1"/>
  <c r="D442" i="1"/>
  <c r="D545" i="1" s="1"/>
  <c r="C545" i="1" s="1"/>
  <c r="Z544" i="1"/>
  <c r="AB544" i="1" s="1"/>
  <c r="X544" i="1"/>
  <c r="L544" i="1"/>
  <c r="J544" i="1"/>
  <c r="F544" i="1"/>
  <c r="D441" i="1"/>
  <c r="D544" i="1" s="1"/>
  <c r="C544" i="1" s="1"/>
  <c r="Z543" i="1"/>
  <c r="AC543" i="1" s="1"/>
  <c r="X543" i="1"/>
  <c r="L543" i="1"/>
  <c r="R543" i="1" s="1"/>
  <c r="J543" i="1"/>
  <c r="F543" i="1"/>
  <c r="H543" i="1" s="1"/>
  <c r="D440" i="1"/>
  <c r="D543" i="1" s="1"/>
  <c r="C543" i="1" s="1"/>
  <c r="X542" i="1"/>
  <c r="L542" i="1"/>
  <c r="R542" i="1" s="1"/>
  <c r="J542" i="1"/>
  <c r="D439" i="1"/>
  <c r="D542" i="1" s="1"/>
  <c r="C542" i="1" s="1"/>
  <c r="X541" i="1"/>
  <c r="L541" i="1"/>
  <c r="P541" i="1" s="1"/>
  <c r="J541" i="1"/>
  <c r="F541" i="1"/>
  <c r="K541" i="1" s="1"/>
  <c r="D438" i="1"/>
  <c r="D541" i="1" s="1"/>
  <c r="C541" i="1" s="1"/>
  <c r="X540" i="1"/>
  <c r="L540" i="1"/>
  <c r="J540" i="1"/>
  <c r="F540" i="1"/>
  <c r="K540" i="1" s="1"/>
  <c r="D437" i="1"/>
  <c r="D540" i="1" s="1"/>
  <c r="C540" i="1" s="1"/>
  <c r="X539" i="1"/>
  <c r="L539" i="1"/>
  <c r="N539" i="1" s="1"/>
  <c r="J539" i="1"/>
  <c r="F539" i="1"/>
  <c r="D436" i="1"/>
  <c r="D539" i="1" s="1"/>
  <c r="C539" i="1" s="1"/>
  <c r="X538" i="1"/>
  <c r="S538" i="1"/>
  <c r="Y538" i="1" s="1"/>
  <c r="L538" i="1"/>
  <c r="J538" i="1"/>
  <c r="F538" i="1"/>
  <c r="D435" i="1"/>
  <c r="D538" i="1" s="1"/>
  <c r="C538" i="1" s="1"/>
  <c r="X537" i="1"/>
  <c r="L537" i="1"/>
  <c r="R537" i="1" s="1"/>
  <c r="J537" i="1"/>
  <c r="F537" i="1"/>
  <c r="D434" i="1"/>
  <c r="D537" i="1" s="1"/>
  <c r="C537" i="1" s="1"/>
  <c r="X536" i="1"/>
  <c r="Q536" i="1"/>
  <c r="L536" i="1"/>
  <c r="R536" i="1" s="1"/>
  <c r="J536" i="1"/>
  <c r="F536" i="1"/>
  <c r="K536" i="1" s="1"/>
  <c r="D433" i="1"/>
  <c r="D536" i="1" s="1"/>
  <c r="C536" i="1" s="1"/>
  <c r="Z535" i="1"/>
  <c r="X535" i="1"/>
  <c r="L535" i="1"/>
  <c r="J535" i="1"/>
  <c r="F535" i="1"/>
  <c r="D432" i="1"/>
  <c r="D535" i="1" s="1"/>
  <c r="C535" i="1" s="1"/>
  <c r="Z534" i="1"/>
  <c r="X534" i="1"/>
  <c r="L534" i="1"/>
  <c r="J534" i="1"/>
  <c r="F534" i="1"/>
  <c r="K534" i="1" s="1"/>
  <c r="D431" i="1"/>
  <c r="D534" i="1" s="1"/>
  <c r="C534" i="1" s="1"/>
  <c r="X533" i="1"/>
  <c r="L533" i="1"/>
  <c r="J533" i="1"/>
  <c r="F533" i="1"/>
  <c r="D430" i="1"/>
  <c r="D533" i="1" s="1"/>
  <c r="C533" i="1" s="1"/>
  <c r="X532" i="1"/>
  <c r="S532" i="1"/>
  <c r="Y532" i="1" s="1"/>
  <c r="L532" i="1"/>
  <c r="J532" i="1"/>
  <c r="F532" i="1"/>
  <c r="D429" i="1"/>
  <c r="D532" i="1" s="1"/>
  <c r="C532" i="1" s="1"/>
  <c r="X531" i="1"/>
  <c r="L531" i="1"/>
  <c r="R531" i="1" s="1"/>
  <c r="J531" i="1"/>
  <c r="F531" i="1"/>
  <c r="D428" i="1"/>
  <c r="D531" i="1" s="1"/>
  <c r="C531" i="1" s="1"/>
  <c r="X530" i="1"/>
  <c r="L530" i="1"/>
  <c r="O530" i="1" s="1"/>
  <c r="J530" i="1"/>
  <c r="F530" i="1"/>
  <c r="K530" i="1" s="1"/>
  <c r="D427" i="1"/>
  <c r="D530" i="1" s="1"/>
  <c r="C530" i="1" s="1"/>
  <c r="D426" i="1"/>
  <c r="D529" i="1" s="1"/>
  <c r="C529" i="1" s="1"/>
  <c r="D425" i="1"/>
  <c r="D424" i="1"/>
  <c r="D527" i="1" s="1"/>
  <c r="C527" i="1" s="1"/>
  <c r="D423" i="1"/>
  <c r="D526" i="1" s="1"/>
  <c r="C526" i="1" s="1"/>
  <c r="D422" i="1"/>
  <c r="D525" i="1" s="1"/>
  <c r="C525" i="1" s="1"/>
  <c r="D421" i="1"/>
  <c r="D524" i="1" s="1"/>
  <c r="C524" i="1" s="1"/>
  <c r="D420" i="1"/>
  <c r="D523" i="1" s="1"/>
  <c r="C523" i="1" s="1"/>
  <c r="D419" i="1"/>
  <c r="D522" i="1" s="1"/>
  <c r="C522" i="1" s="1"/>
  <c r="D418" i="1"/>
  <c r="D521" i="1" s="1"/>
  <c r="C521" i="1" s="1"/>
  <c r="S520" i="1"/>
  <c r="L520" i="1"/>
  <c r="J520" i="1"/>
  <c r="F520" i="1"/>
  <c r="H520" i="1" s="1"/>
  <c r="D417" i="1"/>
  <c r="D265" i="1"/>
  <c r="D372" i="1" s="1"/>
  <c r="E265" i="1"/>
  <c r="F372" i="1" s="1"/>
  <c r="D264" i="1"/>
  <c r="D371" i="1" s="1"/>
  <c r="L265" i="1"/>
  <c r="AE372" i="1" s="1"/>
  <c r="K265" i="1"/>
  <c r="Z372" i="1" s="1"/>
  <c r="AF372" i="1" s="1"/>
  <c r="J265" i="1"/>
  <c r="X372" i="1" s="1"/>
  <c r="I265" i="1"/>
  <c r="S372" i="1" s="1"/>
  <c r="H265" i="1"/>
  <c r="Q372" i="1" s="1"/>
  <c r="G265" i="1"/>
  <c r="L372" i="1" s="1"/>
  <c r="P372" i="1" s="1"/>
  <c r="F265" i="1"/>
  <c r="J372" i="1" s="1"/>
  <c r="L264" i="1"/>
  <c r="AE371" i="1" s="1"/>
  <c r="K264" i="1"/>
  <c r="Z371" i="1" s="1"/>
  <c r="AF371" i="1" s="1"/>
  <c r="J264" i="1"/>
  <c r="X371" i="1" s="1"/>
  <c r="I264" i="1"/>
  <c r="S371" i="1" s="1"/>
  <c r="W371" i="1" s="1"/>
  <c r="H264" i="1"/>
  <c r="Q371" i="1" s="1"/>
  <c r="G264" i="1"/>
  <c r="L371" i="1" s="1"/>
  <c r="P371" i="1" s="1"/>
  <c r="F264" i="1"/>
  <c r="J371" i="1" s="1"/>
  <c r="E264" i="1"/>
  <c r="F371" i="1" s="1"/>
  <c r="L263" i="1"/>
  <c r="AE370" i="1" s="1"/>
  <c r="K263" i="1"/>
  <c r="Z370" i="1" s="1"/>
  <c r="J263" i="1"/>
  <c r="X370" i="1" s="1"/>
  <c r="I263" i="1"/>
  <c r="S370" i="1" s="1"/>
  <c r="Y370" i="1" s="1"/>
  <c r="H263" i="1"/>
  <c r="Q370" i="1" s="1"/>
  <c r="G263" i="1"/>
  <c r="L370" i="1" s="1"/>
  <c r="P370" i="1" s="1"/>
  <c r="F263" i="1"/>
  <c r="J370" i="1" s="1"/>
  <c r="E263" i="1"/>
  <c r="F370" i="1" s="1"/>
  <c r="H370" i="1" s="1"/>
  <c r="D263" i="1"/>
  <c r="D370" i="1" s="1"/>
  <c r="L262" i="1"/>
  <c r="AE369" i="1" s="1"/>
  <c r="K262" i="1"/>
  <c r="Z369" i="1" s="1"/>
  <c r="AF369" i="1" s="1"/>
  <c r="J262" i="1"/>
  <c r="X369" i="1" s="1"/>
  <c r="I262" i="1"/>
  <c r="S369" i="1" s="1"/>
  <c r="W369" i="1" s="1"/>
  <c r="H262" i="1"/>
  <c r="Q369" i="1" s="1"/>
  <c r="G262" i="1"/>
  <c r="L369" i="1" s="1"/>
  <c r="P369" i="1" s="1"/>
  <c r="F262" i="1"/>
  <c r="J369" i="1" s="1"/>
  <c r="E262" i="1"/>
  <c r="F369" i="1" s="1"/>
  <c r="D262" i="1"/>
  <c r="D369" i="1" s="1"/>
  <c r="L261" i="1"/>
  <c r="AE368" i="1" s="1"/>
  <c r="K261" i="1"/>
  <c r="Z368" i="1" s="1"/>
  <c r="AF368" i="1" s="1"/>
  <c r="J261" i="1"/>
  <c r="X368" i="1" s="1"/>
  <c r="I261" i="1"/>
  <c r="S368" i="1" s="1"/>
  <c r="Y368" i="1" s="1"/>
  <c r="H261" i="1"/>
  <c r="Q368" i="1" s="1"/>
  <c r="G261" i="1"/>
  <c r="L368" i="1" s="1"/>
  <c r="P368" i="1" s="1"/>
  <c r="F261" i="1"/>
  <c r="J368" i="1" s="1"/>
  <c r="E261" i="1"/>
  <c r="F368" i="1" s="1"/>
  <c r="D261" i="1"/>
  <c r="D368" i="1" s="1"/>
  <c r="L260" i="1"/>
  <c r="AE367" i="1" s="1"/>
  <c r="K260" i="1"/>
  <c r="Z367" i="1" s="1"/>
  <c r="AF367" i="1" s="1"/>
  <c r="J260" i="1"/>
  <c r="X367" i="1" s="1"/>
  <c r="I260" i="1"/>
  <c r="S367" i="1" s="1"/>
  <c r="H260" i="1"/>
  <c r="Q367" i="1" s="1"/>
  <c r="G260" i="1"/>
  <c r="L367" i="1" s="1"/>
  <c r="F260" i="1"/>
  <c r="J367" i="1" s="1"/>
  <c r="E260" i="1"/>
  <c r="F367" i="1" s="1"/>
  <c r="D260" i="1"/>
  <c r="D367" i="1" s="1"/>
  <c r="L259" i="1"/>
  <c r="AE366" i="1" s="1"/>
  <c r="K259" i="1"/>
  <c r="Z366" i="1" s="1"/>
  <c r="AF366" i="1" s="1"/>
  <c r="J259" i="1"/>
  <c r="X366" i="1" s="1"/>
  <c r="I259" i="1"/>
  <c r="S366" i="1" s="1"/>
  <c r="Y366" i="1" s="1"/>
  <c r="H259" i="1"/>
  <c r="Q366" i="1" s="1"/>
  <c r="G259" i="1"/>
  <c r="L366" i="1" s="1"/>
  <c r="F259" i="1"/>
  <c r="J366" i="1" s="1"/>
  <c r="E259" i="1"/>
  <c r="F366" i="1" s="1"/>
  <c r="D259" i="1"/>
  <c r="D366" i="1" s="1"/>
  <c r="L258" i="1"/>
  <c r="AE365" i="1" s="1"/>
  <c r="K258" i="1"/>
  <c r="Z365" i="1" s="1"/>
  <c r="AF365" i="1" s="1"/>
  <c r="J258" i="1"/>
  <c r="X365" i="1" s="1"/>
  <c r="I258" i="1"/>
  <c r="S365" i="1" s="1"/>
  <c r="H258" i="1"/>
  <c r="Q365" i="1" s="1"/>
  <c r="G258" i="1"/>
  <c r="L365" i="1" s="1"/>
  <c r="F258" i="1"/>
  <c r="J365" i="1" s="1"/>
  <c r="E258" i="1"/>
  <c r="D258" i="1"/>
  <c r="D365" i="1" s="1"/>
  <c r="L257" i="1"/>
  <c r="AE364" i="1" s="1"/>
  <c r="K257" i="1"/>
  <c r="Z364" i="1" s="1"/>
  <c r="AF364" i="1" s="1"/>
  <c r="J257" i="1"/>
  <c r="X364" i="1" s="1"/>
  <c r="I257" i="1"/>
  <c r="S364" i="1" s="1"/>
  <c r="Y364" i="1" s="1"/>
  <c r="H257" i="1"/>
  <c r="Q364" i="1" s="1"/>
  <c r="G257" i="1"/>
  <c r="L364" i="1" s="1"/>
  <c r="F257" i="1"/>
  <c r="J364" i="1" s="1"/>
  <c r="E257" i="1"/>
  <c r="F364" i="1" s="1"/>
  <c r="D257" i="1"/>
  <c r="D364" i="1" s="1"/>
  <c r="L256" i="1"/>
  <c r="AE363" i="1" s="1"/>
  <c r="K256" i="1"/>
  <c r="Z363" i="1" s="1"/>
  <c r="J256" i="1"/>
  <c r="X363" i="1" s="1"/>
  <c r="I256" i="1"/>
  <c r="S363" i="1" s="1"/>
  <c r="H256" i="1"/>
  <c r="Q363" i="1" s="1"/>
  <c r="G256" i="1"/>
  <c r="L363" i="1" s="1"/>
  <c r="R363" i="1" s="1"/>
  <c r="F256" i="1"/>
  <c r="J363" i="1" s="1"/>
  <c r="E256" i="1"/>
  <c r="F363" i="1" s="1"/>
  <c r="D256" i="1"/>
  <c r="D363" i="1" s="1"/>
  <c r="L255" i="1"/>
  <c r="AE362" i="1" s="1"/>
  <c r="K255" i="1"/>
  <c r="Z362" i="1" s="1"/>
  <c r="AF362" i="1" s="1"/>
  <c r="J255" i="1"/>
  <c r="X362" i="1" s="1"/>
  <c r="I255" i="1"/>
  <c r="S362" i="1" s="1"/>
  <c r="H255" i="1"/>
  <c r="Q362" i="1" s="1"/>
  <c r="G255" i="1"/>
  <c r="L362" i="1" s="1"/>
  <c r="O362" i="1" s="1"/>
  <c r="F255" i="1"/>
  <c r="J362" i="1" s="1"/>
  <c r="E255" i="1"/>
  <c r="F362" i="1" s="1"/>
  <c r="D255" i="1"/>
  <c r="D362" i="1" s="1"/>
  <c r="L254" i="1"/>
  <c r="AE361" i="1" s="1"/>
  <c r="K254" i="1"/>
  <c r="Z361" i="1" s="1"/>
  <c r="J254" i="1"/>
  <c r="X361" i="1" s="1"/>
  <c r="I254" i="1"/>
  <c r="S361" i="1" s="1"/>
  <c r="Y361" i="1" s="1"/>
  <c r="H254" i="1"/>
  <c r="Q361" i="1" s="1"/>
  <c r="G254" i="1"/>
  <c r="L361" i="1" s="1"/>
  <c r="P361" i="1" s="1"/>
  <c r="F254" i="1"/>
  <c r="J361" i="1" s="1"/>
  <c r="E254" i="1"/>
  <c r="F361" i="1" s="1"/>
  <c r="H361" i="1" s="1"/>
  <c r="D254" i="1"/>
  <c r="D361" i="1" s="1"/>
  <c r="L253" i="1"/>
  <c r="AE360" i="1" s="1"/>
  <c r="K253" i="1"/>
  <c r="Z360" i="1" s="1"/>
  <c r="AF360" i="1" s="1"/>
  <c r="J253" i="1"/>
  <c r="X360" i="1" s="1"/>
  <c r="I253" i="1"/>
  <c r="S360" i="1" s="1"/>
  <c r="H253" i="1"/>
  <c r="Q360" i="1" s="1"/>
  <c r="G253" i="1"/>
  <c r="L360" i="1" s="1"/>
  <c r="R360" i="1" s="1"/>
  <c r="F253" i="1"/>
  <c r="J360" i="1" s="1"/>
  <c r="E253" i="1"/>
  <c r="F360" i="1" s="1"/>
  <c r="D253" i="1"/>
  <c r="D360" i="1" s="1"/>
  <c r="L252" i="1"/>
  <c r="AE359" i="1" s="1"/>
  <c r="K252" i="1"/>
  <c r="Z359" i="1" s="1"/>
  <c r="AF359" i="1" s="1"/>
  <c r="J252" i="1"/>
  <c r="X359" i="1" s="1"/>
  <c r="I252" i="1"/>
  <c r="S359" i="1" s="1"/>
  <c r="W359" i="1" s="1"/>
  <c r="H252" i="1"/>
  <c r="Q359" i="1" s="1"/>
  <c r="G252" i="1"/>
  <c r="L359" i="1" s="1"/>
  <c r="F252" i="1"/>
  <c r="J359" i="1" s="1"/>
  <c r="E252" i="1"/>
  <c r="F359" i="1" s="1"/>
  <c r="K359" i="1" s="1"/>
  <c r="D252" i="1"/>
  <c r="D359" i="1" s="1"/>
  <c r="L251" i="1"/>
  <c r="AE358" i="1" s="1"/>
  <c r="K251" i="1"/>
  <c r="Z358" i="1" s="1"/>
  <c r="J251" i="1"/>
  <c r="X358" i="1" s="1"/>
  <c r="I251" i="1"/>
  <c r="S358" i="1" s="1"/>
  <c r="Y358" i="1" s="1"/>
  <c r="H251" i="1"/>
  <c r="Q358" i="1" s="1"/>
  <c r="G251" i="1"/>
  <c r="L358" i="1" s="1"/>
  <c r="P358" i="1" s="1"/>
  <c r="F251" i="1"/>
  <c r="J358" i="1" s="1"/>
  <c r="E251" i="1"/>
  <c r="F358" i="1" s="1"/>
  <c r="D251" i="1"/>
  <c r="D358" i="1" s="1"/>
  <c r="L250" i="1"/>
  <c r="AE357" i="1" s="1"/>
  <c r="K250" i="1"/>
  <c r="Z357" i="1" s="1"/>
  <c r="AF357" i="1" s="1"/>
  <c r="J250" i="1"/>
  <c r="X357" i="1" s="1"/>
  <c r="I250" i="1"/>
  <c r="S357" i="1" s="1"/>
  <c r="W357" i="1" s="1"/>
  <c r="H250" i="1"/>
  <c r="Q357" i="1" s="1"/>
  <c r="G250" i="1"/>
  <c r="L357" i="1" s="1"/>
  <c r="F250" i="1"/>
  <c r="J357" i="1" s="1"/>
  <c r="E250" i="1"/>
  <c r="F357" i="1" s="1"/>
  <c r="H357" i="1" s="1"/>
  <c r="D250" i="1"/>
  <c r="D357" i="1" s="1"/>
  <c r="L249" i="1"/>
  <c r="AE356" i="1" s="1"/>
  <c r="K249" i="1"/>
  <c r="Z356" i="1" s="1"/>
  <c r="J249" i="1"/>
  <c r="X356" i="1" s="1"/>
  <c r="I249" i="1"/>
  <c r="S356" i="1" s="1"/>
  <c r="Y356" i="1" s="1"/>
  <c r="H249" i="1"/>
  <c r="Q356" i="1" s="1"/>
  <c r="G249" i="1"/>
  <c r="L356" i="1" s="1"/>
  <c r="P356" i="1" s="1"/>
  <c r="F249" i="1"/>
  <c r="J356" i="1" s="1"/>
  <c r="E249" i="1"/>
  <c r="F356" i="1" s="1"/>
  <c r="D249" i="1"/>
  <c r="D356" i="1" s="1"/>
  <c r="L248" i="1"/>
  <c r="AE355" i="1" s="1"/>
  <c r="K248" i="1"/>
  <c r="Z355" i="1" s="1"/>
  <c r="AF355" i="1" s="1"/>
  <c r="J248" i="1"/>
  <c r="X355" i="1" s="1"/>
  <c r="I248" i="1"/>
  <c r="S355" i="1" s="1"/>
  <c r="H248" i="1"/>
  <c r="Q355" i="1" s="1"/>
  <c r="G248" i="1"/>
  <c r="L355" i="1" s="1"/>
  <c r="P355" i="1" s="1"/>
  <c r="F248" i="1"/>
  <c r="J355" i="1" s="1"/>
  <c r="E248" i="1"/>
  <c r="F355" i="1" s="1"/>
  <c r="H355" i="1" s="1"/>
  <c r="D248" i="1"/>
  <c r="D355" i="1" s="1"/>
  <c r="L247" i="1"/>
  <c r="AE354" i="1" s="1"/>
  <c r="K247" i="1"/>
  <c r="Z354" i="1" s="1"/>
  <c r="AF354" i="1" s="1"/>
  <c r="J247" i="1"/>
  <c r="X354" i="1" s="1"/>
  <c r="I247" i="1"/>
  <c r="S354" i="1" s="1"/>
  <c r="Y354" i="1" s="1"/>
  <c r="H247" i="1"/>
  <c r="Q354" i="1" s="1"/>
  <c r="G247" i="1"/>
  <c r="L354" i="1" s="1"/>
  <c r="R354" i="1" s="1"/>
  <c r="F247" i="1"/>
  <c r="J354" i="1" s="1"/>
  <c r="E247" i="1"/>
  <c r="F354" i="1" s="1"/>
  <c r="D247" i="1"/>
  <c r="D354" i="1" s="1"/>
  <c r="L246" i="1"/>
  <c r="AE353" i="1" s="1"/>
  <c r="K246" i="1"/>
  <c r="Z353" i="1" s="1"/>
  <c r="AF353" i="1" s="1"/>
  <c r="J246" i="1"/>
  <c r="X353" i="1" s="1"/>
  <c r="I246" i="1"/>
  <c r="S353" i="1" s="1"/>
  <c r="H246" i="1"/>
  <c r="Q353" i="1" s="1"/>
  <c r="G246" i="1"/>
  <c r="L353" i="1" s="1"/>
  <c r="F246" i="1"/>
  <c r="J353" i="1" s="1"/>
  <c r="E246" i="1"/>
  <c r="F353" i="1" s="1"/>
  <c r="D246" i="1"/>
  <c r="D353" i="1" s="1"/>
  <c r="L245" i="1"/>
  <c r="AE352" i="1" s="1"/>
  <c r="K245" i="1"/>
  <c r="Z352" i="1" s="1"/>
  <c r="AC352" i="1" s="1"/>
  <c r="J245" i="1"/>
  <c r="X352" i="1" s="1"/>
  <c r="I245" i="1"/>
  <c r="S352" i="1" s="1"/>
  <c r="Y352" i="1" s="1"/>
  <c r="H245" i="1"/>
  <c r="Q352" i="1" s="1"/>
  <c r="G245" i="1"/>
  <c r="L352" i="1" s="1"/>
  <c r="M352" i="1" s="1"/>
  <c r="F245" i="1"/>
  <c r="J352" i="1" s="1"/>
  <c r="E245" i="1"/>
  <c r="F352" i="1" s="1"/>
  <c r="D245" i="1"/>
  <c r="D352" i="1" s="1"/>
  <c r="L244" i="1"/>
  <c r="AE351" i="1" s="1"/>
  <c r="K244" i="1"/>
  <c r="Z351" i="1" s="1"/>
  <c r="AF351" i="1" s="1"/>
  <c r="J244" i="1"/>
  <c r="X351" i="1" s="1"/>
  <c r="I244" i="1"/>
  <c r="S351" i="1" s="1"/>
  <c r="W351" i="1" s="1"/>
  <c r="H244" i="1"/>
  <c r="Q351" i="1" s="1"/>
  <c r="G244" i="1"/>
  <c r="L351" i="1" s="1"/>
  <c r="F244" i="1"/>
  <c r="J351" i="1" s="1"/>
  <c r="E244" i="1"/>
  <c r="F351" i="1" s="1"/>
  <c r="D244" i="1"/>
  <c r="D351" i="1" s="1"/>
  <c r="L243" i="1"/>
  <c r="AE350" i="1" s="1"/>
  <c r="K243" i="1"/>
  <c r="Z350" i="1" s="1"/>
  <c r="J243" i="1"/>
  <c r="X350" i="1" s="1"/>
  <c r="I243" i="1"/>
  <c r="S350" i="1" s="1"/>
  <c r="Y350" i="1" s="1"/>
  <c r="H243" i="1"/>
  <c r="Q350" i="1" s="1"/>
  <c r="G243" i="1"/>
  <c r="L350" i="1" s="1"/>
  <c r="P350" i="1" s="1"/>
  <c r="F243" i="1"/>
  <c r="J350" i="1" s="1"/>
  <c r="E243" i="1"/>
  <c r="F350" i="1" s="1"/>
  <c r="D243" i="1"/>
  <c r="D350" i="1" s="1"/>
  <c r="L242" i="1"/>
  <c r="AE349" i="1" s="1"/>
  <c r="K242" i="1"/>
  <c r="Z349" i="1" s="1"/>
  <c r="J242" i="1"/>
  <c r="X349" i="1" s="1"/>
  <c r="I242" i="1"/>
  <c r="S349" i="1" s="1"/>
  <c r="H242" i="1"/>
  <c r="Q349" i="1" s="1"/>
  <c r="G242" i="1"/>
  <c r="L349" i="1" s="1"/>
  <c r="P349" i="1" s="1"/>
  <c r="F242" i="1"/>
  <c r="J349" i="1" s="1"/>
  <c r="E242" i="1"/>
  <c r="F349" i="1" s="1"/>
  <c r="H349" i="1" s="1"/>
  <c r="D242" i="1"/>
  <c r="D349" i="1" s="1"/>
  <c r="L241" i="1"/>
  <c r="AE348" i="1" s="1"/>
  <c r="K241" i="1"/>
  <c r="Z348" i="1" s="1"/>
  <c r="AF348" i="1" s="1"/>
  <c r="J241" i="1"/>
  <c r="X348" i="1" s="1"/>
  <c r="I241" i="1"/>
  <c r="S348" i="1" s="1"/>
  <c r="H241" i="1"/>
  <c r="Q348" i="1" s="1"/>
  <c r="G241" i="1"/>
  <c r="L348" i="1" s="1"/>
  <c r="R348" i="1" s="1"/>
  <c r="F241" i="1"/>
  <c r="J348" i="1" s="1"/>
  <c r="E241" i="1"/>
  <c r="F348" i="1" s="1"/>
  <c r="D241" i="1"/>
  <c r="D348" i="1" s="1"/>
  <c r="L240" i="1"/>
  <c r="AE347" i="1" s="1"/>
  <c r="K240" i="1"/>
  <c r="Z347" i="1" s="1"/>
  <c r="AF347" i="1" s="1"/>
  <c r="J240" i="1"/>
  <c r="X347" i="1" s="1"/>
  <c r="I240" i="1"/>
  <c r="S347" i="1" s="1"/>
  <c r="H240" i="1"/>
  <c r="Q347" i="1" s="1"/>
  <c r="G240" i="1"/>
  <c r="L347" i="1" s="1"/>
  <c r="P347" i="1" s="1"/>
  <c r="F240" i="1"/>
  <c r="J347" i="1" s="1"/>
  <c r="E240" i="1"/>
  <c r="D240" i="1"/>
  <c r="D347" i="1" s="1"/>
  <c r="L239" i="1"/>
  <c r="AE346" i="1" s="1"/>
  <c r="K239" i="1"/>
  <c r="Z346" i="1" s="1"/>
  <c r="AF346" i="1" s="1"/>
  <c r="J239" i="1"/>
  <c r="X346" i="1" s="1"/>
  <c r="I239" i="1"/>
  <c r="S346" i="1" s="1"/>
  <c r="Y346" i="1" s="1"/>
  <c r="H239" i="1"/>
  <c r="Q346" i="1" s="1"/>
  <c r="G239" i="1"/>
  <c r="L346" i="1" s="1"/>
  <c r="R346" i="1" s="1"/>
  <c r="F239" i="1"/>
  <c r="J346" i="1" s="1"/>
  <c r="E239" i="1"/>
  <c r="F346" i="1" s="1"/>
  <c r="D239" i="1"/>
  <c r="L238" i="1"/>
  <c r="AE345" i="1" s="1"/>
  <c r="K238" i="1"/>
  <c r="Z345" i="1" s="1"/>
  <c r="AF345" i="1" s="1"/>
  <c r="J238" i="1"/>
  <c r="X345" i="1" s="1"/>
  <c r="I238" i="1"/>
  <c r="S345" i="1" s="1"/>
  <c r="H238" i="1"/>
  <c r="Q345" i="1" s="1"/>
  <c r="G238" i="1"/>
  <c r="L345" i="1" s="1"/>
  <c r="F238" i="1"/>
  <c r="J345" i="1" s="1"/>
  <c r="E238" i="1"/>
  <c r="F345" i="1" s="1"/>
  <c r="D238" i="1"/>
  <c r="D345" i="1" s="1"/>
  <c r="L237" i="1"/>
  <c r="AE344" i="1" s="1"/>
  <c r="K237" i="1"/>
  <c r="Z344" i="1" s="1"/>
  <c r="AF344" i="1" s="1"/>
  <c r="J237" i="1"/>
  <c r="X344" i="1" s="1"/>
  <c r="I237" i="1"/>
  <c r="S344" i="1" s="1"/>
  <c r="Y344" i="1" s="1"/>
  <c r="H237" i="1"/>
  <c r="Q344" i="1" s="1"/>
  <c r="G237" i="1"/>
  <c r="L344" i="1" s="1"/>
  <c r="F237" i="1"/>
  <c r="J344" i="1" s="1"/>
  <c r="E237" i="1"/>
  <c r="F344" i="1" s="1"/>
  <c r="K344" i="1" s="1"/>
  <c r="D237" i="1"/>
  <c r="D344" i="1" s="1"/>
  <c r="L236" i="1"/>
  <c r="AE343" i="1" s="1"/>
  <c r="K236" i="1"/>
  <c r="Z343" i="1" s="1"/>
  <c r="J236" i="1"/>
  <c r="X343" i="1" s="1"/>
  <c r="I236" i="1"/>
  <c r="S343" i="1" s="1"/>
  <c r="H236" i="1"/>
  <c r="Q343" i="1" s="1"/>
  <c r="G236" i="1"/>
  <c r="L343" i="1" s="1"/>
  <c r="P343" i="1" s="1"/>
  <c r="F236" i="1"/>
  <c r="J343" i="1" s="1"/>
  <c r="E236" i="1"/>
  <c r="F343" i="1" s="1"/>
  <c r="D236" i="1"/>
  <c r="D343" i="1" s="1"/>
  <c r="L235" i="1"/>
  <c r="AE342" i="1" s="1"/>
  <c r="K235" i="1"/>
  <c r="Z342" i="1" s="1"/>
  <c r="AF342" i="1" s="1"/>
  <c r="J235" i="1"/>
  <c r="X342" i="1" s="1"/>
  <c r="I235" i="1"/>
  <c r="S342" i="1" s="1"/>
  <c r="H235" i="1"/>
  <c r="Q342" i="1" s="1"/>
  <c r="G235" i="1"/>
  <c r="L342" i="1" s="1"/>
  <c r="F235" i="1"/>
  <c r="J342" i="1" s="1"/>
  <c r="E235" i="1"/>
  <c r="F342" i="1" s="1"/>
  <c r="D235" i="1"/>
  <c r="D342" i="1" s="1"/>
  <c r="L234" i="1"/>
  <c r="AE341" i="1" s="1"/>
  <c r="K234" i="1"/>
  <c r="Z341" i="1" s="1"/>
  <c r="AF341" i="1" s="1"/>
  <c r="J234" i="1"/>
  <c r="X341" i="1" s="1"/>
  <c r="I234" i="1"/>
  <c r="S341" i="1" s="1"/>
  <c r="W341" i="1" s="1"/>
  <c r="H234" i="1"/>
  <c r="Q341" i="1" s="1"/>
  <c r="G234" i="1"/>
  <c r="L341" i="1" s="1"/>
  <c r="F234" i="1"/>
  <c r="J341" i="1" s="1"/>
  <c r="E234" i="1"/>
  <c r="F341" i="1" s="1"/>
  <c r="K341" i="1" s="1"/>
  <c r="D234" i="1"/>
  <c r="D341" i="1" s="1"/>
  <c r="L233" i="1"/>
  <c r="AE340" i="1" s="1"/>
  <c r="K233" i="1"/>
  <c r="Z340" i="1" s="1"/>
  <c r="AF340" i="1" s="1"/>
  <c r="J233" i="1"/>
  <c r="X340" i="1" s="1"/>
  <c r="I233" i="1"/>
  <c r="S340" i="1" s="1"/>
  <c r="Y340" i="1" s="1"/>
  <c r="H233" i="1"/>
  <c r="Q340" i="1" s="1"/>
  <c r="G233" i="1"/>
  <c r="L340" i="1" s="1"/>
  <c r="F233" i="1"/>
  <c r="J340" i="1" s="1"/>
  <c r="E233" i="1"/>
  <c r="F340" i="1" s="1"/>
  <c r="H340" i="1" s="1"/>
  <c r="D233" i="1"/>
  <c r="D340" i="1" s="1"/>
  <c r="L232" i="1"/>
  <c r="AE339" i="1" s="1"/>
  <c r="K232" i="1"/>
  <c r="Z339" i="1" s="1"/>
  <c r="J232" i="1"/>
  <c r="X339" i="1" s="1"/>
  <c r="I232" i="1"/>
  <c r="S339" i="1" s="1"/>
  <c r="H232" i="1"/>
  <c r="Q339" i="1" s="1"/>
  <c r="G232" i="1"/>
  <c r="L339" i="1" s="1"/>
  <c r="P339" i="1" s="1"/>
  <c r="F232" i="1"/>
  <c r="J339" i="1" s="1"/>
  <c r="E232" i="1"/>
  <c r="F339" i="1" s="1"/>
  <c r="K339" i="1" s="1"/>
  <c r="D232" i="1"/>
  <c r="D339" i="1" s="1"/>
  <c r="L231" i="1"/>
  <c r="AE338" i="1" s="1"/>
  <c r="K231" i="1"/>
  <c r="Z338" i="1" s="1"/>
  <c r="AC338" i="1" s="1"/>
  <c r="J231" i="1"/>
  <c r="X338" i="1" s="1"/>
  <c r="I231" i="1"/>
  <c r="S338" i="1" s="1"/>
  <c r="Y338" i="1" s="1"/>
  <c r="H231" i="1"/>
  <c r="Q338" i="1" s="1"/>
  <c r="G231" i="1"/>
  <c r="L338" i="1" s="1"/>
  <c r="F231" i="1"/>
  <c r="J338" i="1" s="1"/>
  <c r="E231" i="1"/>
  <c r="F338" i="1" s="1"/>
  <c r="K338" i="1" s="1"/>
  <c r="D231" i="1"/>
  <c r="D338" i="1" s="1"/>
  <c r="L230" i="1"/>
  <c r="AE337" i="1" s="1"/>
  <c r="K230" i="1"/>
  <c r="Z337" i="1" s="1"/>
  <c r="J230" i="1"/>
  <c r="X337" i="1" s="1"/>
  <c r="I230" i="1"/>
  <c r="S337" i="1" s="1"/>
  <c r="Y337" i="1" s="1"/>
  <c r="H230" i="1"/>
  <c r="Q337" i="1" s="1"/>
  <c r="G230" i="1"/>
  <c r="L337" i="1" s="1"/>
  <c r="P337" i="1" s="1"/>
  <c r="F230" i="1"/>
  <c r="J337" i="1" s="1"/>
  <c r="E230" i="1"/>
  <c r="F337" i="1" s="1"/>
  <c r="H337" i="1" s="1"/>
  <c r="D230" i="1"/>
  <c r="D337" i="1" s="1"/>
  <c r="L229" i="1"/>
  <c r="AE336" i="1" s="1"/>
  <c r="K229" i="1"/>
  <c r="Z336" i="1" s="1"/>
  <c r="AF336" i="1" s="1"/>
  <c r="J229" i="1"/>
  <c r="X336" i="1" s="1"/>
  <c r="I229" i="1"/>
  <c r="S336" i="1" s="1"/>
  <c r="Y336" i="1" s="1"/>
  <c r="H229" i="1"/>
  <c r="Q336" i="1" s="1"/>
  <c r="G229" i="1"/>
  <c r="L336" i="1" s="1"/>
  <c r="R336" i="1" s="1"/>
  <c r="F229" i="1"/>
  <c r="J336" i="1" s="1"/>
  <c r="E229" i="1"/>
  <c r="F336" i="1" s="1"/>
  <c r="H336" i="1" s="1"/>
  <c r="D229" i="1"/>
  <c r="D336" i="1" s="1"/>
  <c r="L228" i="1"/>
  <c r="AE335" i="1" s="1"/>
  <c r="K228" i="1"/>
  <c r="Z335" i="1" s="1"/>
  <c r="AF335" i="1" s="1"/>
  <c r="J228" i="1"/>
  <c r="X335" i="1" s="1"/>
  <c r="I228" i="1"/>
  <c r="S335" i="1" s="1"/>
  <c r="W335" i="1" s="1"/>
  <c r="H228" i="1"/>
  <c r="Q335" i="1" s="1"/>
  <c r="G228" i="1"/>
  <c r="L335" i="1" s="1"/>
  <c r="F228" i="1"/>
  <c r="J335" i="1" s="1"/>
  <c r="E228" i="1"/>
  <c r="F335" i="1" s="1"/>
  <c r="H335" i="1" s="1"/>
  <c r="D228" i="1"/>
  <c r="D335" i="1" s="1"/>
  <c r="L227" i="1"/>
  <c r="AE334" i="1" s="1"/>
  <c r="K227" i="1"/>
  <c r="Z334" i="1" s="1"/>
  <c r="J227" i="1"/>
  <c r="X334" i="1" s="1"/>
  <c r="I227" i="1"/>
  <c r="S334" i="1" s="1"/>
  <c r="Y334" i="1" s="1"/>
  <c r="H227" i="1"/>
  <c r="Q334" i="1" s="1"/>
  <c r="G227" i="1"/>
  <c r="L334" i="1" s="1"/>
  <c r="P334" i="1" s="1"/>
  <c r="F227" i="1"/>
  <c r="J334" i="1" s="1"/>
  <c r="E227" i="1"/>
  <c r="F334" i="1" s="1"/>
  <c r="D227" i="1"/>
  <c r="D334" i="1" s="1"/>
  <c r="L226" i="1"/>
  <c r="AE333" i="1" s="1"/>
  <c r="K226" i="1"/>
  <c r="Z333" i="1" s="1"/>
  <c r="AF333" i="1" s="1"/>
  <c r="J226" i="1"/>
  <c r="X333" i="1" s="1"/>
  <c r="I226" i="1"/>
  <c r="S333" i="1" s="1"/>
  <c r="H226" i="1"/>
  <c r="Q333" i="1" s="1"/>
  <c r="G226" i="1"/>
  <c r="L333" i="1" s="1"/>
  <c r="F226" i="1"/>
  <c r="J333" i="1" s="1"/>
  <c r="E226" i="1"/>
  <c r="F333" i="1" s="1"/>
  <c r="D226" i="1"/>
  <c r="D333" i="1" s="1"/>
  <c r="L225" i="1"/>
  <c r="AE332" i="1" s="1"/>
  <c r="K225" i="1"/>
  <c r="Z332" i="1" s="1"/>
  <c r="AF332" i="1" s="1"/>
  <c r="J225" i="1"/>
  <c r="X332" i="1" s="1"/>
  <c r="I225" i="1"/>
  <c r="S332" i="1" s="1"/>
  <c r="Y332" i="1" s="1"/>
  <c r="H225" i="1"/>
  <c r="Q332" i="1" s="1"/>
  <c r="G225" i="1"/>
  <c r="L332" i="1" s="1"/>
  <c r="R332" i="1" s="1"/>
  <c r="F225" i="1"/>
  <c r="J332" i="1" s="1"/>
  <c r="E225" i="1"/>
  <c r="F332" i="1" s="1"/>
  <c r="D225" i="1"/>
  <c r="D332" i="1" s="1"/>
  <c r="L224" i="1"/>
  <c r="AE331" i="1" s="1"/>
  <c r="K224" i="1"/>
  <c r="Z331" i="1" s="1"/>
  <c r="AF331" i="1" s="1"/>
  <c r="J224" i="1"/>
  <c r="X331" i="1" s="1"/>
  <c r="I224" i="1"/>
  <c r="S331" i="1" s="1"/>
  <c r="H224" i="1"/>
  <c r="Q331" i="1" s="1"/>
  <c r="G224" i="1"/>
  <c r="L331" i="1" s="1"/>
  <c r="P331" i="1" s="1"/>
  <c r="F224" i="1"/>
  <c r="J331" i="1" s="1"/>
  <c r="E224" i="1"/>
  <c r="F331" i="1" s="1"/>
  <c r="D224" i="1"/>
  <c r="D331" i="1" s="1"/>
  <c r="L223" i="1"/>
  <c r="AE330" i="1" s="1"/>
  <c r="K223" i="1"/>
  <c r="Z330" i="1" s="1"/>
  <c r="AF330" i="1" s="1"/>
  <c r="J223" i="1"/>
  <c r="X330" i="1" s="1"/>
  <c r="I223" i="1"/>
  <c r="S330" i="1" s="1"/>
  <c r="Y330" i="1" s="1"/>
  <c r="H223" i="1"/>
  <c r="Q330" i="1" s="1"/>
  <c r="G223" i="1"/>
  <c r="L330" i="1" s="1"/>
  <c r="P330" i="1" s="1"/>
  <c r="F223" i="1"/>
  <c r="J330" i="1" s="1"/>
  <c r="E223" i="1"/>
  <c r="F330" i="1" s="1"/>
  <c r="D223" i="1"/>
  <c r="D330" i="1" s="1"/>
  <c r="L222" i="1"/>
  <c r="AE329" i="1" s="1"/>
  <c r="K222" i="1"/>
  <c r="Z329" i="1" s="1"/>
  <c r="AF329" i="1" s="1"/>
  <c r="J222" i="1"/>
  <c r="X329" i="1" s="1"/>
  <c r="I222" i="1"/>
  <c r="S329" i="1" s="1"/>
  <c r="W329" i="1" s="1"/>
  <c r="H222" i="1"/>
  <c r="Q329" i="1" s="1"/>
  <c r="G222" i="1"/>
  <c r="L329" i="1" s="1"/>
  <c r="F222" i="1"/>
  <c r="J329" i="1" s="1"/>
  <c r="E222" i="1"/>
  <c r="F329" i="1" s="1"/>
  <c r="D222" i="1"/>
  <c r="D329" i="1" s="1"/>
  <c r="L221" i="1"/>
  <c r="AE328" i="1" s="1"/>
  <c r="K221" i="1"/>
  <c r="Z328" i="1" s="1"/>
  <c r="AF328" i="1" s="1"/>
  <c r="J221" i="1"/>
  <c r="X328" i="1" s="1"/>
  <c r="I221" i="1"/>
  <c r="S328" i="1" s="1"/>
  <c r="Y328" i="1" s="1"/>
  <c r="H221" i="1"/>
  <c r="Q328" i="1" s="1"/>
  <c r="G221" i="1"/>
  <c r="L328" i="1" s="1"/>
  <c r="P328" i="1" s="1"/>
  <c r="F221" i="1"/>
  <c r="J328" i="1" s="1"/>
  <c r="E221" i="1"/>
  <c r="F328" i="1" s="1"/>
  <c r="D221" i="1"/>
  <c r="D328" i="1" s="1"/>
  <c r="L220" i="1"/>
  <c r="AE327" i="1" s="1"/>
  <c r="K220" i="1"/>
  <c r="Z327" i="1" s="1"/>
  <c r="AF327" i="1" s="1"/>
  <c r="J220" i="1"/>
  <c r="X327" i="1" s="1"/>
  <c r="I220" i="1"/>
  <c r="S327" i="1" s="1"/>
  <c r="W327" i="1" s="1"/>
  <c r="H220" i="1"/>
  <c r="Q327" i="1" s="1"/>
  <c r="G220" i="1"/>
  <c r="L327" i="1" s="1"/>
  <c r="P327" i="1" s="1"/>
  <c r="F220" i="1"/>
  <c r="J327" i="1" s="1"/>
  <c r="E220" i="1"/>
  <c r="F327" i="1" s="1"/>
  <c r="D220" i="1"/>
  <c r="D327" i="1" s="1"/>
  <c r="L219" i="1"/>
  <c r="AE326" i="1" s="1"/>
  <c r="K219" i="1"/>
  <c r="Z326" i="1" s="1"/>
  <c r="J219" i="1"/>
  <c r="X326" i="1" s="1"/>
  <c r="I219" i="1"/>
  <c r="S326" i="1" s="1"/>
  <c r="Y326" i="1" s="1"/>
  <c r="H219" i="1"/>
  <c r="Q326" i="1" s="1"/>
  <c r="G219" i="1"/>
  <c r="L326" i="1" s="1"/>
  <c r="P326" i="1" s="1"/>
  <c r="F219" i="1"/>
  <c r="J326" i="1" s="1"/>
  <c r="E219" i="1"/>
  <c r="F326" i="1" s="1"/>
  <c r="H326" i="1" s="1"/>
  <c r="D219" i="1"/>
  <c r="D326" i="1" s="1"/>
  <c r="L218" i="1"/>
  <c r="AE325" i="1" s="1"/>
  <c r="K218" i="1"/>
  <c r="Z325" i="1" s="1"/>
  <c r="AF325" i="1" s="1"/>
  <c r="J218" i="1"/>
  <c r="X325" i="1" s="1"/>
  <c r="I218" i="1"/>
  <c r="S325" i="1" s="1"/>
  <c r="W325" i="1" s="1"/>
  <c r="H218" i="1"/>
  <c r="Q325" i="1" s="1"/>
  <c r="G218" i="1"/>
  <c r="L325" i="1" s="1"/>
  <c r="F218" i="1"/>
  <c r="J325" i="1" s="1"/>
  <c r="E218" i="1"/>
  <c r="F325" i="1" s="1"/>
  <c r="D218" i="1"/>
  <c r="D325" i="1" s="1"/>
  <c r="L217" i="1"/>
  <c r="AE324" i="1" s="1"/>
  <c r="K217" i="1"/>
  <c r="Z324" i="1" s="1"/>
  <c r="AC324" i="1" s="1"/>
  <c r="J217" i="1"/>
  <c r="X324" i="1" s="1"/>
  <c r="I217" i="1"/>
  <c r="S324" i="1" s="1"/>
  <c r="Y324" i="1" s="1"/>
  <c r="H217" i="1"/>
  <c r="Q324" i="1" s="1"/>
  <c r="G217" i="1"/>
  <c r="L324" i="1" s="1"/>
  <c r="F217" i="1"/>
  <c r="J324" i="1" s="1"/>
  <c r="E217" i="1"/>
  <c r="D217" i="1"/>
  <c r="D324" i="1" s="1"/>
  <c r="L216" i="1"/>
  <c r="AE323" i="1" s="1"/>
  <c r="K216" i="1"/>
  <c r="Z323" i="1" s="1"/>
  <c r="AF323" i="1" s="1"/>
  <c r="J216" i="1"/>
  <c r="X323" i="1" s="1"/>
  <c r="I216" i="1"/>
  <c r="S323" i="1" s="1"/>
  <c r="W323" i="1" s="1"/>
  <c r="H216" i="1"/>
  <c r="Q323" i="1" s="1"/>
  <c r="G216" i="1"/>
  <c r="L323" i="1" s="1"/>
  <c r="F216" i="1"/>
  <c r="J323" i="1" s="1"/>
  <c r="E216" i="1"/>
  <c r="F323" i="1" s="1"/>
  <c r="D216" i="1"/>
  <c r="D323" i="1" s="1"/>
  <c r="L215" i="1"/>
  <c r="AE322" i="1" s="1"/>
  <c r="K215" i="1"/>
  <c r="Z322" i="1" s="1"/>
  <c r="J215" i="1"/>
  <c r="X322" i="1" s="1"/>
  <c r="I215" i="1"/>
  <c r="S322" i="1" s="1"/>
  <c r="Y322" i="1" s="1"/>
  <c r="H215" i="1"/>
  <c r="Q322" i="1" s="1"/>
  <c r="G215" i="1"/>
  <c r="L322" i="1" s="1"/>
  <c r="P322" i="1" s="1"/>
  <c r="F215" i="1"/>
  <c r="J322" i="1" s="1"/>
  <c r="E215" i="1"/>
  <c r="F322" i="1" s="1"/>
  <c r="K322" i="1" s="1"/>
  <c r="D215" i="1"/>
  <c r="D322" i="1" s="1"/>
  <c r="L214" i="1"/>
  <c r="AE321" i="1" s="1"/>
  <c r="K214" i="1"/>
  <c r="Z321" i="1" s="1"/>
  <c r="AF321" i="1" s="1"/>
  <c r="J214" i="1"/>
  <c r="X321" i="1" s="1"/>
  <c r="I214" i="1"/>
  <c r="S321" i="1" s="1"/>
  <c r="H214" i="1"/>
  <c r="Q321" i="1" s="1"/>
  <c r="G214" i="1"/>
  <c r="L321" i="1" s="1"/>
  <c r="F214" i="1"/>
  <c r="J321" i="1" s="1"/>
  <c r="E214" i="1"/>
  <c r="F321" i="1" s="1"/>
  <c r="H321" i="1" s="1"/>
  <c r="D214" i="1"/>
  <c r="D321" i="1" s="1"/>
  <c r="L213" i="1"/>
  <c r="AE320" i="1" s="1"/>
  <c r="K213" i="1"/>
  <c r="Z320" i="1" s="1"/>
  <c r="AF320" i="1" s="1"/>
  <c r="J213" i="1"/>
  <c r="X320" i="1" s="1"/>
  <c r="I213" i="1"/>
  <c r="S320" i="1" s="1"/>
  <c r="Y320" i="1" s="1"/>
  <c r="H213" i="1"/>
  <c r="Q320" i="1" s="1"/>
  <c r="G213" i="1"/>
  <c r="L320" i="1" s="1"/>
  <c r="P320" i="1" s="1"/>
  <c r="F213" i="1"/>
  <c r="J320" i="1" s="1"/>
  <c r="E213" i="1"/>
  <c r="F320" i="1" s="1"/>
  <c r="D213" i="1"/>
  <c r="D320" i="1" s="1"/>
  <c r="L212" i="1"/>
  <c r="AE319" i="1" s="1"/>
  <c r="K212" i="1"/>
  <c r="Z319" i="1" s="1"/>
  <c r="AF319" i="1" s="1"/>
  <c r="J212" i="1"/>
  <c r="X319" i="1" s="1"/>
  <c r="I212" i="1"/>
  <c r="S319" i="1" s="1"/>
  <c r="H212" i="1"/>
  <c r="Q319" i="1" s="1"/>
  <c r="G212" i="1"/>
  <c r="L319" i="1" s="1"/>
  <c r="F212" i="1"/>
  <c r="J319" i="1" s="1"/>
  <c r="E212" i="1"/>
  <c r="F319" i="1" s="1"/>
  <c r="H319" i="1" s="1"/>
  <c r="D212" i="1"/>
  <c r="D319" i="1" s="1"/>
  <c r="L211" i="1"/>
  <c r="AE318" i="1" s="1"/>
  <c r="K211" i="1"/>
  <c r="Z318" i="1" s="1"/>
  <c r="AA318" i="1" s="1"/>
  <c r="J211" i="1"/>
  <c r="X318" i="1" s="1"/>
  <c r="I211" i="1"/>
  <c r="S318" i="1" s="1"/>
  <c r="Y318" i="1" s="1"/>
  <c r="H211" i="1"/>
  <c r="Q318" i="1" s="1"/>
  <c r="G211" i="1"/>
  <c r="L318" i="1" s="1"/>
  <c r="P318" i="1" s="1"/>
  <c r="F211" i="1"/>
  <c r="J318" i="1" s="1"/>
  <c r="E211" i="1"/>
  <c r="F318" i="1" s="1"/>
  <c r="D211" i="1"/>
  <c r="D318" i="1" s="1"/>
  <c r="L210" i="1"/>
  <c r="AE317" i="1" s="1"/>
  <c r="K210" i="1"/>
  <c r="Z317" i="1" s="1"/>
  <c r="AF317" i="1" s="1"/>
  <c r="J210" i="1"/>
  <c r="X317" i="1" s="1"/>
  <c r="I210" i="1"/>
  <c r="S317" i="1" s="1"/>
  <c r="H210" i="1"/>
  <c r="Q317" i="1" s="1"/>
  <c r="G210" i="1"/>
  <c r="L317" i="1" s="1"/>
  <c r="F210" i="1"/>
  <c r="J317" i="1" s="1"/>
  <c r="E210" i="1"/>
  <c r="F317" i="1" s="1"/>
  <c r="K317" i="1" s="1"/>
  <c r="D210" i="1"/>
  <c r="D317" i="1" s="1"/>
  <c r="L209" i="1"/>
  <c r="AE316" i="1" s="1"/>
  <c r="K209" i="1"/>
  <c r="Z316" i="1" s="1"/>
  <c r="AF316" i="1" s="1"/>
  <c r="J209" i="1"/>
  <c r="X316" i="1" s="1"/>
  <c r="I209" i="1"/>
  <c r="S316" i="1" s="1"/>
  <c r="Y316" i="1" s="1"/>
  <c r="H209" i="1"/>
  <c r="Q316" i="1" s="1"/>
  <c r="G209" i="1"/>
  <c r="L316" i="1" s="1"/>
  <c r="P316" i="1" s="1"/>
  <c r="F209" i="1"/>
  <c r="J316" i="1" s="1"/>
  <c r="E209" i="1"/>
  <c r="F316" i="1" s="1"/>
  <c r="K316" i="1" s="1"/>
  <c r="D209" i="1"/>
  <c r="D316" i="1" s="1"/>
  <c r="L208" i="1"/>
  <c r="AE315" i="1" s="1"/>
  <c r="K208" i="1"/>
  <c r="Z315" i="1" s="1"/>
  <c r="J208" i="1"/>
  <c r="X315" i="1" s="1"/>
  <c r="I208" i="1"/>
  <c r="S315" i="1" s="1"/>
  <c r="H208" i="1"/>
  <c r="Q315" i="1" s="1"/>
  <c r="G208" i="1"/>
  <c r="L315" i="1" s="1"/>
  <c r="P315" i="1" s="1"/>
  <c r="F208" i="1"/>
  <c r="J315" i="1" s="1"/>
  <c r="E208" i="1"/>
  <c r="F315" i="1" s="1"/>
  <c r="D208" i="1"/>
  <c r="D315" i="1" s="1"/>
  <c r="L207" i="1"/>
  <c r="AE314" i="1" s="1"/>
  <c r="K207" i="1"/>
  <c r="Z314" i="1" s="1"/>
  <c r="AF314" i="1" s="1"/>
  <c r="J207" i="1"/>
  <c r="X314" i="1" s="1"/>
  <c r="I207" i="1"/>
  <c r="S314" i="1" s="1"/>
  <c r="Y314" i="1" s="1"/>
  <c r="H207" i="1"/>
  <c r="Q314" i="1" s="1"/>
  <c r="G207" i="1"/>
  <c r="L314" i="1" s="1"/>
  <c r="P314" i="1" s="1"/>
  <c r="F207" i="1"/>
  <c r="J314" i="1" s="1"/>
  <c r="E207" i="1"/>
  <c r="F314" i="1" s="1"/>
  <c r="H314" i="1" s="1"/>
  <c r="D207" i="1"/>
  <c r="D314" i="1" s="1"/>
  <c r="L206" i="1"/>
  <c r="AE313" i="1" s="1"/>
  <c r="K206" i="1"/>
  <c r="Z313" i="1" s="1"/>
  <c r="J206" i="1"/>
  <c r="X313" i="1" s="1"/>
  <c r="I206" i="1"/>
  <c r="S313" i="1" s="1"/>
  <c r="Y313" i="1" s="1"/>
  <c r="H206" i="1"/>
  <c r="Q313" i="1" s="1"/>
  <c r="G206" i="1"/>
  <c r="L313" i="1" s="1"/>
  <c r="P313" i="1" s="1"/>
  <c r="F206" i="1"/>
  <c r="J313" i="1" s="1"/>
  <c r="E206" i="1"/>
  <c r="F313" i="1" s="1"/>
  <c r="K313" i="1" s="1"/>
  <c r="D206" i="1"/>
  <c r="D313" i="1" s="1"/>
  <c r="L205" i="1"/>
  <c r="AE312" i="1" s="1"/>
  <c r="K205" i="1"/>
  <c r="Z312" i="1" s="1"/>
  <c r="AD312" i="1" s="1"/>
  <c r="J205" i="1"/>
  <c r="X312" i="1" s="1"/>
  <c r="I205" i="1"/>
  <c r="S312" i="1" s="1"/>
  <c r="W312" i="1" s="1"/>
  <c r="H205" i="1"/>
  <c r="Q312" i="1" s="1"/>
  <c r="G205" i="1"/>
  <c r="L312" i="1" s="1"/>
  <c r="O312" i="1" s="1"/>
  <c r="F205" i="1"/>
  <c r="J312" i="1" s="1"/>
  <c r="E205" i="1"/>
  <c r="F312" i="1" s="1"/>
  <c r="K312" i="1" s="1"/>
  <c r="D205" i="1"/>
  <c r="D312" i="1" s="1"/>
  <c r="B1" i="1" a="1"/>
  <c r="B1" i="1" s="1"/>
  <c r="D152" i="1" a="1"/>
  <c r="D152" i="1" s="1"/>
  <c r="B482" i="1"/>
  <c r="A482" i="1" s="1"/>
  <c r="A481" i="1"/>
  <c r="X520" i="1"/>
  <c r="AE519" i="1"/>
  <c r="X519" i="1"/>
  <c r="S519" i="1"/>
  <c r="V519" i="1" s="1"/>
  <c r="L519" i="1"/>
  <c r="J519" i="1"/>
  <c r="F519" i="1"/>
  <c r="D416" i="1"/>
  <c r="D519" i="1" s="1"/>
  <c r="C519" i="1" s="1"/>
  <c r="X518" i="1"/>
  <c r="S518" i="1"/>
  <c r="Q518" i="1"/>
  <c r="L518" i="1"/>
  <c r="J518" i="1"/>
  <c r="D415" i="1"/>
  <c r="D518" i="1" s="1"/>
  <c r="C518" i="1" s="1"/>
  <c r="X517" i="1"/>
  <c r="S517" i="1"/>
  <c r="L517" i="1"/>
  <c r="P517" i="1" s="1"/>
  <c r="J517" i="1"/>
  <c r="D414" i="1"/>
  <c r="D517" i="1" s="1"/>
  <c r="C517" i="1" s="1"/>
  <c r="X516" i="1"/>
  <c r="S516" i="1"/>
  <c r="W516" i="1" s="1"/>
  <c r="L516" i="1"/>
  <c r="J516" i="1"/>
  <c r="F516" i="1"/>
  <c r="D413" i="1"/>
  <c r="D516" i="1" s="1"/>
  <c r="C516" i="1" s="1"/>
  <c r="X515" i="1"/>
  <c r="S515" i="1"/>
  <c r="L515" i="1"/>
  <c r="J515" i="1"/>
  <c r="F515" i="1"/>
  <c r="H515" i="1" s="1"/>
  <c r="D412" i="1"/>
  <c r="D515" i="1" s="1"/>
  <c r="C515" i="1" s="1"/>
  <c r="X514" i="1"/>
  <c r="S514" i="1"/>
  <c r="L514" i="1"/>
  <c r="O514" i="1" s="1"/>
  <c r="J514" i="1"/>
  <c r="D411" i="1"/>
  <c r="D514" i="1" s="1"/>
  <c r="C514" i="1" s="1"/>
  <c r="X513" i="1"/>
  <c r="S513" i="1"/>
  <c r="Q513" i="1"/>
  <c r="L513" i="1"/>
  <c r="J513" i="1"/>
  <c r="F513" i="1"/>
  <c r="D410" i="1"/>
  <c r="X512" i="1"/>
  <c r="S512" i="1"/>
  <c r="L512" i="1"/>
  <c r="J512" i="1"/>
  <c r="F512" i="1"/>
  <c r="K512" i="1" s="1"/>
  <c r="D409" i="1"/>
  <c r="D512" i="1" s="1"/>
  <c r="C512" i="1" s="1"/>
  <c r="X511" i="1"/>
  <c r="S511" i="1"/>
  <c r="V511" i="1" s="1"/>
  <c r="L511" i="1"/>
  <c r="O511" i="1" s="1"/>
  <c r="J511" i="1"/>
  <c r="F511" i="1"/>
  <c r="D408" i="1"/>
  <c r="D511" i="1" s="1"/>
  <c r="C511" i="1" s="1"/>
  <c r="Z510" i="1"/>
  <c r="AB510" i="1" s="1"/>
  <c r="X510" i="1"/>
  <c r="S510" i="1"/>
  <c r="L510" i="1"/>
  <c r="J510" i="1"/>
  <c r="D407" i="1"/>
  <c r="D510" i="1" s="1"/>
  <c r="C510" i="1" s="1"/>
  <c r="Z509" i="1"/>
  <c r="X509" i="1"/>
  <c r="S509" i="1"/>
  <c r="L509" i="1"/>
  <c r="P509" i="1" s="1"/>
  <c r="J509" i="1"/>
  <c r="D406" i="1"/>
  <c r="D509" i="1" s="1"/>
  <c r="C509" i="1" s="1"/>
  <c r="Z508" i="1"/>
  <c r="X508" i="1"/>
  <c r="S508" i="1"/>
  <c r="L508" i="1"/>
  <c r="O508" i="1" s="1"/>
  <c r="J508" i="1"/>
  <c r="F508" i="1"/>
  <c r="D405" i="1"/>
  <c r="D508" i="1" s="1"/>
  <c r="C508" i="1" s="1"/>
  <c r="Z507" i="1"/>
  <c r="X507" i="1"/>
  <c r="S507" i="1"/>
  <c r="L507" i="1"/>
  <c r="J507" i="1"/>
  <c r="F507" i="1"/>
  <c r="D404" i="1"/>
  <c r="D507" i="1" s="1"/>
  <c r="C507" i="1" s="1"/>
  <c r="AE506" i="1"/>
  <c r="X506" i="1"/>
  <c r="S506" i="1"/>
  <c r="L506" i="1"/>
  <c r="O506" i="1" s="1"/>
  <c r="J506" i="1"/>
  <c r="D403" i="1"/>
  <c r="D506" i="1" s="1"/>
  <c r="C506" i="1" s="1"/>
  <c r="AE505" i="1"/>
  <c r="X505" i="1"/>
  <c r="S505" i="1"/>
  <c r="U505" i="1" s="1"/>
  <c r="L505" i="1"/>
  <c r="J505" i="1"/>
  <c r="F505" i="1"/>
  <c r="D402" i="1"/>
  <c r="X504" i="1"/>
  <c r="S504" i="1"/>
  <c r="L504" i="1"/>
  <c r="J504" i="1"/>
  <c r="F504" i="1"/>
  <c r="K504" i="1" s="1"/>
  <c r="D401" i="1"/>
  <c r="D504" i="1" s="1"/>
  <c r="C504" i="1" s="1"/>
  <c r="X503" i="1"/>
  <c r="S503" i="1"/>
  <c r="L503" i="1"/>
  <c r="O503" i="1" s="1"/>
  <c r="J503" i="1"/>
  <c r="F503" i="1"/>
  <c r="D400" i="1"/>
  <c r="D503" i="1" s="1"/>
  <c r="C503" i="1" s="1"/>
  <c r="X502" i="1"/>
  <c r="S502" i="1"/>
  <c r="T502" i="1" s="1"/>
  <c r="Q502" i="1"/>
  <c r="L502" i="1"/>
  <c r="J502" i="1"/>
  <c r="D399" i="1"/>
  <c r="D502" i="1" s="1"/>
  <c r="C502" i="1" s="1"/>
  <c r="X501" i="1"/>
  <c r="S501" i="1"/>
  <c r="L501" i="1"/>
  <c r="J501" i="1"/>
  <c r="D398" i="1"/>
  <c r="D501" i="1" s="1"/>
  <c r="C501" i="1" s="1"/>
  <c r="X500" i="1"/>
  <c r="S500" i="1"/>
  <c r="L500" i="1"/>
  <c r="O500" i="1" s="1"/>
  <c r="J500" i="1"/>
  <c r="F500" i="1"/>
  <c r="D397" i="1"/>
  <c r="D500" i="1" s="1"/>
  <c r="C500" i="1" s="1"/>
  <c r="X499" i="1"/>
  <c r="S499" i="1"/>
  <c r="Y499" i="1" s="1"/>
  <c r="L499" i="1"/>
  <c r="J499" i="1"/>
  <c r="F499" i="1"/>
  <c r="H499" i="1" s="1"/>
  <c r="D396" i="1"/>
  <c r="D499" i="1" s="1"/>
  <c r="C499" i="1" s="1"/>
  <c r="X498" i="1"/>
  <c r="S498" i="1"/>
  <c r="T498" i="1" s="1"/>
  <c r="L498" i="1"/>
  <c r="P498" i="1" s="1"/>
  <c r="J498" i="1"/>
  <c r="D395" i="1"/>
  <c r="D498" i="1" s="1"/>
  <c r="C498" i="1" s="1"/>
  <c r="X497" i="1"/>
  <c r="S497" i="1"/>
  <c r="Y497" i="1" s="1"/>
  <c r="Q497" i="1"/>
  <c r="L497" i="1"/>
  <c r="J497" i="1"/>
  <c r="F497" i="1"/>
  <c r="D394" i="1"/>
  <c r="Z496" i="1"/>
  <c r="X496" i="1"/>
  <c r="S496" i="1"/>
  <c r="T496" i="1" s="1"/>
  <c r="Q496" i="1"/>
  <c r="L496" i="1"/>
  <c r="J496" i="1"/>
  <c r="F496" i="1"/>
  <c r="D393" i="1"/>
  <c r="D496" i="1" s="1"/>
  <c r="C496" i="1" s="1"/>
  <c r="Z495" i="1"/>
  <c r="X495" i="1"/>
  <c r="S495" i="1"/>
  <c r="Y495" i="1" s="1"/>
  <c r="Q495" i="1"/>
  <c r="L495" i="1"/>
  <c r="J495" i="1"/>
  <c r="F495" i="1"/>
  <c r="H495" i="1" s="1"/>
  <c r="D392" i="1"/>
  <c r="D495" i="1" s="1"/>
  <c r="C495" i="1" s="1"/>
  <c r="AE494" i="1"/>
  <c r="X494" i="1"/>
  <c r="S494" i="1"/>
  <c r="Q494" i="1"/>
  <c r="L494" i="1"/>
  <c r="N494" i="1" s="1"/>
  <c r="J494" i="1"/>
  <c r="D391" i="1"/>
  <c r="D494" i="1" s="1"/>
  <c r="C494" i="1" s="1"/>
  <c r="AE493" i="1"/>
  <c r="X493" i="1"/>
  <c r="S493" i="1"/>
  <c r="L493" i="1"/>
  <c r="J493" i="1"/>
  <c r="D390" i="1"/>
  <c r="D493" i="1" s="1"/>
  <c r="C493" i="1" s="1"/>
  <c r="AE492" i="1"/>
  <c r="X492" i="1"/>
  <c r="S492" i="1"/>
  <c r="Y492" i="1" s="1"/>
  <c r="L492" i="1"/>
  <c r="J492" i="1"/>
  <c r="F492" i="1"/>
  <c r="D389" i="1"/>
  <c r="D492" i="1" s="1"/>
  <c r="C492" i="1" s="1"/>
  <c r="X491" i="1"/>
  <c r="S491" i="1"/>
  <c r="W491" i="1" s="1"/>
  <c r="L491" i="1"/>
  <c r="M491" i="1" s="1"/>
  <c r="J491" i="1"/>
  <c r="F491" i="1"/>
  <c r="D388" i="1"/>
  <c r="D491" i="1" s="1"/>
  <c r="C491" i="1" s="1"/>
  <c r="X490" i="1"/>
  <c r="S490" i="1"/>
  <c r="L490" i="1"/>
  <c r="J490" i="1"/>
  <c r="D387" i="1"/>
  <c r="D490" i="1" s="1"/>
  <c r="C490" i="1" s="1"/>
  <c r="X489" i="1"/>
  <c r="S489" i="1"/>
  <c r="Y489" i="1" s="1"/>
  <c r="L489" i="1"/>
  <c r="P489" i="1" s="1"/>
  <c r="J489" i="1"/>
  <c r="F489" i="1"/>
  <c r="D386" i="1"/>
  <c r="X488" i="1"/>
  <c r="S488" i="1"/>
  <c r="U488" i="1" s="1"/>
  <c r="L488" i="1"/>
  <c r="J488" i="1"/>
  <c r="F488" i="1"/>
  <c r="D385" i="1"/>
  <c r="D488" i="1" s="1"/>
  <c r="C488" i="1" s="1"/>
  <c r="X487" i="1"/>
  <c r="S487" i="1"/>
  <c r="Q487" i="1"/>
  <c r="L487" i="1"/>
  <c r="J487" i="1"/>
  <c r="F487" i="1"/>
  <c r="H487" i="1" s="1"/>
  <c r="D384" i="1"/>
  <c r="D487" i="1" s="1"/>
  <c r="C487" i="1" s="1"/>
  <c r="X486" i="1"/>
  <c r="S486" i="1"/>
  <c r="L486" i="1"/>
  <c r="O486" i="1" s="1"/>
  <c r="J486" i="1"/>
  <c r="D383" i="1"/>
  <c r="D486" i="1" s="1"/>
  <c r="C486" i="1" s="1"/>
  <c r="X485" i="1"/>
  <c r="S485" i="1"/>
  <c r="L485" i="1"/>
  <c r="M485" i="1" s="1"/>
  <c r="J485" i="1"/>
  <c r="F485" i="1"/>
  <c r="D382" i="1"/>
  <c r="D485" i="1" s="1"/>
  <c r="C485" i="1" s="1"/>
  <c r="Z484" i="1"/>
  <c r="X484" i="1"/>
  <c r="S484" i="1"/>
  <c r="L484" i="1"/>
  <c r="N484" i="1" s="1"/>
  <c r="J484" i="1"/>
  <c r="F484" i="1"/>
  <c r="D381" i="1"/>
  <c r="D484" i="1" s="1"/>
  <c r="C484" i="1" s="1"/>
  <c r="Z483" i="1"/>
  <c r="AC483" i="1" s="1"/>
  <c r="X483" i="1"/>
  <c r="S483" i="1"/>
  <c r="L483" i="1"/>
  <c r="J483" i="1"/>
  <c r="F483" i="1"/>
  <c r="K483" i="1" s="1"/>
  <c r="D380" i="1"/>
  <c r="D483" i="1" s="1"/>
  <c r="C483" i="1" s="1"/>
  <c r="AE482" i="1"/>
  <c r="X482" i="1"/>
  <c r="S482" i="1"/>
  <c r="L482" i="1"/>
  <c r="R482" i="1" s="1"/>
  <c r="J482" i="1"/>
  <c r="D379" i="1"/>
  <c r="D482" i="1" s="1"/>
  <c r="C482" i="1" s="1"/>
  <c r="B379" i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X481" i="1"/>
  <c r="S481" i="1"/>
  <c r="L481" i="1"/>
  <c r="J481" i="1"/>
  <c r="F481" i="1"/>
  <c r="H481" i="1" s="1"/>
  <c r="D378" i="1"/>
  <c r="D481" i="1" s="1"/>
  <c r="C481" i="1" s="1"/>
  <c r="B273" i="1"/>
  <c r="B274" i="1" s="1"/>
  <c r="A272" i="1"/>
  <c r="L204" i="1"/>
  <c r="AE311" i="1" s="1"/>
  <c r="K204" i="1"/>
  <c r="Z311" i="1" s="1"/>
  <c r="AF311" i="1" s="1"/>
  <c r="J204" i="1"/>
  <c r="X311" i="1" s="1"/>
  <c r="I204" i="1"/>
  <c r="S311" i="1" s="1"/>
  <c r="W311" i="1" s="1"/>
  <c r="H204" i="1"/>
  <c r="Q311" i="1" s="1"/>
  <c r="G204" i="1"/>
  <c r="L311" i="1" s="1"/>
  <c r="F204" i="1"/>
  <c r="J311" i="1" s="1"/>
  <c r="E204" i="1"/>
  <c r="F311" i="1" s="1"/>
  <c r="D204" i="1"/>
  <c r="D311" i="1" s="1"/>
  <c r="C311" i="1" s="1"/>
  <c r="L203" i="1"/>
  <c r="AE310" i="1" s="1"/>
  <c r="K203" i="1"/>
  <c r="Z310" i="1" s="1"/>
  <c r="J203" i="1"/>
  <c r="X310" i="1" s="1"/>
  <c r="I203" i="1"/>
  <c r="S310" i="1" s="1"/>
  <c r="H203" i="1"/>
  <c r="Q310" i="1" s="1"/>
  <c r="G203" i="1"/>
  <c r="L310" i="1" s="1"/>
  <c r="F203" i="1"/>
  <c r="J310" i="1" s="1"/>
  <c r="E203" i="1"/>
  <c r="F310" i="1" s="1"/>
  <c r="D203" i="1"/>
  <c r="D310" i="1" s="1"/>
  <c r="C310" i="1" s="1"/>
  <c r="L202" i="1"/>
  <c r="AE309" i="1" s="1"/>
  <c r="K202" i="1"/>
  <c r="Z309" i="1" s="1"/>
  <c r="J202" i="1"/>
  <c r="X309" i="1" s="1"/>
  <c r="I202" i="1"/>
  <c r="S309" i="1" s="1"/>
  <c r="H202" i="1"/>
  <c r="Q309" i="1" s="1"/>
  <c r="G202" i="1"/>
  <c r="L309" i="1" s="1"/>
  <c r="F202" i="1"/>
  <c r="J309" i="1" s="1"/>
  <c r="E202" i="1"/>
  <c r="D202" i="1"/>
  <c r="D309" i="1" s="1"/>
  <c r="C309" i="1" s="1"/>
  <c r="L201" i="1"/>
  <c r="AE308" i="1" s="1"/>
  <c r="K201" i="1"/>
  <c r="Z308" i="1" s="1"/>
  <c r="J201" i="1"/>
  <c r="X308" i="1" s="1"/>
  <c r="I201" i="1"/>
  <c r="S308" i="1" s="1"/>
  <c r="Y308" i="1" s="1"/>
  <c r="H201" i="1"/>
  <c r="Q308" i="1" s="1"/>
  <c r="G201" i="1"/>
  <c r="L308" i="1" s="1"/>
  <c r="F201" i="1"/>
  <c r="J308" i="1" s="1"/>
  <c r="E201" i="1"/>
  <c r="F308" i="1" s="1"/>
  <c r="K308" i="1" s="1"/>
  <c r="D201" i="1"/>
  <c r="D308" i="1" s="1"/>
  <c r="C308" i="1" s="1"/>
  <c r="L200" i="1"/>
  <c r="AE307" i="1" s="1"/>
  <c r="K200" i="1"/>
  <c r="Z307" i="1" s="1"/>
  <c r="J200" i="1"/>
  <c r="X307" i="1" s="1"/>
  <c r="I200" i="1"/>
  <c r="S307" i="1" s="1"/>
  <c r="H200" i="1"/>
  <c r="Q307" i="1" s="1"/>
  <c r="G200" i="1"/>
  <c r="L307" i="1" s="1"/>
  <c r="F200" i="1"/>
  <c r="J307" i="1" s="1"/>
  <c r="E200" i="1"/>
  <c r="F307" i="1" s="1"/>
  <c r="D200" i="1"/>
  <c r="D307" i="1" s="1"/>
  <c r="C307" i="1" s="1"/>
  <c r="L199" i="1"/>
  <c r="AE306" i="1" s="1"/>
  <c r="K199" i="1"/>
  <c r="Z306" i="1" s="1"/>
  <c r="J199" i="1"/>
  <c r="X306" i="1" s="1"/>
  <c r="I199" i="1"/>
  <c r="S306" i="1" s="1"/>
  <c r="Y306" i="1" s="1"/>
  <c r="H199" i="1"/>
  <c r="Q306" i="1" s="1"/>
  <c r="G199" i="1"/>
  <c r="L306" i="1" s="1"/>
  <c r="N306" i="1" s="1"/>
  <c r="F199" i="1"/>
  <c r="J306" i="1" s="1"/>
  <c r="E199" i="1"/>
  <c r="F306" i="1" s="1"/>
  <c r="H306" i="1" s="1"/>
  <c r="D199" i="1"/>
  <c r="D306" i="1" s="1"/>
  <c r="C306" i="1" s="1"/>
  <c r="L198" i="1"/>
  <c r="AE305" i="1" s="1"/>
  <c r="K198" i="1"/>
  <c r="Z305" i="1" s="1"/>
  <c r="AA305" i="1" s="1"/>
  <c r="J198" i="1"/>
  <c r="X305" i="1" s="1"/>
  <c r="I198" i="1"/>
  <c r="S305" i="1" s="1"/>
  <c r="H198" i="1"/>
  <c r="Q305" i="1" s="1"/>
  <c r="G198" i="1"/>
  <c r="L305" i="1" s="1"/>
  <c r="P305" i="1" s="1"/>
  <c r="F198" i="1"/>
  <c r="J305" i="1" s="1"/>
  <c r="E198" i="1"/>
  <c r="F305" i="1" s="1"/>
  <c r="D198" i="1"/>
  <c r="D305" i="1" s="1"/>
  <c r="C305" i="1" s="1"/>
  <c r="L197" i="1"/>
  <c r="AE304" i="1" s="1"/>
  <c r="K197" i="1"/>
  <c r="Z304" i="1" s="1"/>
  <c r="J197" i="1"/>
  <c r="X304" i="1" s="1"/>
  <c r="I197" i="1"/>
  <c r="S304" i="1" s="1"/>
  <c r="Y304" i="1" s="1"/>
  <c r="H197" i="1"/>
  <c r="Q304" i="1" s="1"/>
  <c r="G197" i="1"/>
  <c r="L304" i="1" s="1"/>
  <c r="F197" i="1"/>
  <c r="J304" i="1" s="1"/>
  <c r="E197" i="1"/>
  <c r="F304" i="1" s="1"/>
  <c r="D197" i="1"/>
  <c r="D304" i="1" s="1"/>
  <c r="C304" i="1" s="1"/>
  <c r="L196" i="1"/>
  <c r="AE303" i="1" s="1"/>
  <c r="K196" i="1"/>
  <c r="Z303" i="1" s="1"/>
  <c r="AA303" i="1" s="1"/>
  <c r="J196" i="1"/>
  <c r="X303" i="1" s="1"/>
  <c r="I196" i="1"/>
  <c r="S303" i="1" s="1"/>
  <c r="H196" i="1"/>
  <c r="Q303" i="1" s="1"/>
  <c r="G196" i="1"/>
  <c r="L303" i="1" s="1"/>
  <c r="R303" i="1" s="1"/>
  <c r="F196" i="1"/>
  <c r="J303" i="1" s="1"/>
  <c r="E196" i="1"/>
  <c r="F303" i="1" s="1"/>
  <c r="K303" i="1" s="1"/>
  <c r="D196" i="1"/>
  <c r="D303" i="1" s="1"/>
  <c r="C303" i="1" s="1"/>
  <c r="L195" i="1"/>
  <c r="AE302" i="1" s="1"/>
  <c r="K195" i="1"/>
  <c r="Z302" i="1" s="1"/>
  <c r="J195" i="1"/>
  <c r="X302" i="1" s="1"/>
  <c r="I195" i="1"/>
  <c r="S302" i="1" s="1"/>
  <c r="H195" i="1"/>
  <c r="Q302" i="1" s="1"/>
  <c r="G195" i="1"/>
  <c r="L302" i="1" s="1"/>
  <c r="O302" i="1" s="1"/>
  <c r="F195" i="1"/>
  <c r="J302" i="1" s="1"/>
  <c r="E195" i="1"/>
  <c r="F302" i="1" s="1"/>
  <c r="D195" i="1"/>
  <c r="D302" i="1" s="1"/>
  <c r="C302" i="1" s="1"/>
  <c r="L194" i="1"/>
  <c r="AE301" i="1" s="1"/>
  <c r="K194" i="1"/>
  <c r="Z301" i="1" s="1"/>
  <c r="J194" i="1"/>
  <c r="X301" i="1" s="1"/>
  <c r="I194" i="1"/>
  <c r="S301" i="1" s="1"/>
  <c r="H194" i="1"/>
  <c r="Q301" i="1" s="1"/>
  <c r="G194" i="1"/>
  <c r="L301" i="1" s="1"/>
  <c r="F194" i="1"/>
  <c r="J301" i="1" s="1"/>
  <c r="E194" i="1"/>
  <c r="F301" i="1" s="1"/>
  <c r="D194" i="1"/>
  <c r="D301" i="1" s="1"/>
  <c r="C301" i="1" s="1"/>
  <c r="L193" i="1"/>
  <c r="AE300" i="1" s="1"/>
  <c r="K193" i="1"/>
  <c r="Z300" i="1" s="1"/>
  <c r="J193" i="1"/>
  <c r="X300" i="1" s="1"/>
  <c r="I193" i="1"/>
  <c r="S300" i="1" s="1"/>
  <c r="H193" i="1"/>
  <c r="Q300" i="1" s="1"/>
  <c r="G193" i="1"/>
  <c r="L300" i="1" s="1"/>
  <c r="F193" i="1"/>
  <c r="J300" i="1" s="1"/>
  <c r="E193" i="1"/>
  <c r="F300" i="1" s="1"/>
  <c r="K300" i="1" s="1"/>
  <c r="D193" i="1"/>
  <c r="D300" i="1" s="1"/>
  <c r="C300" i="1" s="1"/>
  <c r="L192" i="1"/>
  <c r="AE299" i="1" s="1"/>
  <c r="K192" i="1"/>
  <c r="Z299" i="1" s="1"/>
  <c r="AD299" i="1" s="1"/>
  <c r="J192" i="1"/>
  <c r="X299" i="1" s="1"/>
  <c r="I192" i="1"/>
  <c r="S299" i="1" s="1"/>
  <c r="H192" i="1"/>
  <c r="Q299" i="1" s="1"/>
  <c r="G192" i="1"/>
  <c r="L299" i="1" s="1"/>
  <c r="O299" i="1" s="1"/>
  <c r="F192" i="1"/>
  <c r="J299" i="1" s="1"/>
  <c r="E192" i="1"/>
  <c r="F299" i="1" s="1"/>
  <c r="D192" i="1"/>
  <c r="D299" i="1" s="1"/>
  <c r="C299" i="1" s="1"/>
  <c r="L191" i="1"/>
  <c r="AE298" i="1" s="1"/>
  <c r="K191" i="1"/>
  <c r="Z298" i="1" s="1"/>
  <c r="J191" i="1"/>
  <c r="X298" i="1" s="1"/>
  <c r="I191" i="1"/>
  <c r="S298" i="1" s="1"/>
  <c r="H191" i="1"/>
  <c r="Q298" i="1" s="1"/>
  <c r="G191" i="1"/>
  <c r="L298" i="1" s="1"/>
  <c r="F191" i="1"/>
  <c r="J298" i="1" s="1"/>
  <c r="E191" i="1"/>
  <c r="F298" i="1" s="1"/>
  <c r="D191" i="1"/>
  <c r="D298" i="1" s="1"/>
  <c r="C298" i="1" s="1"/>
  <c r="L190" i="1"/>
  <c r="AE297" i="1" s="1"/>
  <c r="K190" i="1"/>
  <c r="Z297" i="1" s="1"/>
  <c r="J190" i="1"/>
  <c r="X297" i="1" s="1"/>
  <c r="I190" i="1"/>
  <c r="S297" i="1" s="1"/>
  <c r="W297" i="1" s="1"/>
  <c r="H190" i="1"/>
  <c r="Q297" i="1" s="1"/>
  <c r="G190" i="1"/>
  <c r="L297" i="1" s="1"/>
  <c r="F190" i="1"/>
  <c r="J297" i="1" s="1"/>
  <c r="E190" i="1"/>
  <c r="F297" i="1" s="1"/>
  <c r="K297" i="1" s="1"/>
  <c r="D190" i="1"/>
  <c r="D297" i="1" s="1"/>
  <c r="C297" i="1" s="1"/>
  <c r="L189" i="1"/>
  <c r="AE296" i="1" s="1"/>
  <c r="K189" i="1"/>
  <c r="Z296" i="1" s="1"/>
  <c r="J189" i="1"/>
  <c r="X296" i="1" s="1"/>
  <c r="I189" i="1"/>
  <c r="S296" i="1" s="1"/>
  <c r="T296" i="1" s="1"/>
  <c r="H189" i="1"/>
  <c r="Q296" i="1" s="1"/>
  <c r="G189" i="1"/>
  <c r="L296" i="1" s="1"/>
  <c r="F189" i="1"/>
  <c r="J296" i="1" s="1"/>
  <c r="E189" i="1"/>
  <c r="F296" i="1" s="1"/>
  <c r="D189" i="1"/>
  <c r="D296" i="1" s="1"/>
  <c r="C296" i="1" s="1"/>
  <c r="L188" i="1"/>
  <c r="AE295" i="1" s="1"/>
  <c r="K188" i="1"/>
  <c r="Z295" i="1" s="1"/>
  <c r="J188" i="1"/>
  <c r="X295" i="1" s="1"/>
  <c r="I188" i="1"/>
  <c r="S295" i="1" s="1"/>
  <c r="H188" i="1"/>
  <c r="Q295" i="1" s="1"/>
  <c r="G188" i="1"/>
  <c r="L295" i="1" s="1"/>
  <c r="R295" i="1" s="1"/>
  <c r="F188" i="1"/>
  <c r="J295" i="1" s="1"/>
  <c r="E188" i="1"/>
  <c r="F295" i="1" s="1"/>
  <c r="D188" i="1"/>
  <c r="D295" i="1" s="1"/>
  <c r="C295" i="1" s="1"/>
  <c r="L187" i="1"/>
  <c r="AE294" i="1" s="1"/>
  <c r="K187" i="1"/>
  <c r="Z294" i="1" s="1"/>
  <c r="J187" i="1"/>
  <c r="X294" i="1" s="1"/>
  <c r="I187" i="1"/>
  <c r="S294" i="1" s="1"/>
  <c r="H187" i="1"/>
  <c r="Q294" i="1" s="1"/>
  <c r="G187" i="1"/>
  <c r="L294" i="1" s="1"/>
  <c r="F187" i="1"/>
  <c r="J294" i="1" s="1"/>
  <c r="E187" i="1"/>
  <c r="F294" i="1" s="1"/>
  <c r="D187" i="1"/>
  <c r="D294" i="1" s="1"/>
  <c r="C294" i="1" s="1"/>
  <c r="L186" i="1"/>
  <c r="AE293" i="1" s="1"/>
  <c r="K186" i="1"/>
  <c r="Z293" i="1" s="1"/>
  <c r="AC293" i="1" s="1"/>
  <c r="J186" i="1"/>
  <c r="X293" i="1" s="1"/>
  <c r="I186" i="1"/>
  <c r="S293" i="1" s="1"/>
  <c r="T293" i="1" s="1"/>
  <c r="H186" i="1"/>
  <c r="Q293" i="1" s="1"/>
  <c r="G186" i="1"/>
  <c r="L293" i="1" s="1"/>
  <c r="F186" i="1"/>
  <c r="J293" i="1" s="1"/>
  <c r="E186" i="1"/>
  <c r="F293" i="1" s="1"/>
  <c r="H293" i="1" s="1"/>
  <c r="D186" i="1"/>
  <c r="D293" i="1" s="1"/>
  <c r="C293" i="1" s="1"/>
  <c r="L185" i="1"/>
  <c r="AE292" i="1" s="1"/>
  <c r="K185" i="1"/>
  <c r="Z292" i="1" s="1"/>
  <c r="J185" i="1"/>
  <c r="X292" i="1" s="1"/>
  <c r="I185" i="1"/>
  <c r="S292" i="1" s="1"/>
  <c r="H185" i="1"/>
  <c r="Q292" i="1" s="1"/>
  <c r="G185" i="1"/>
  <c r="L292" i="1" s="1"/>
  <c r="F185" i="1"/>
  <c r="J292" i="1" s="1"/>
  <c r="E185" i="1"/>
  <c r="F292" i="1" s="1"/>
  <c r="D185" i="1"/>
  <c r="D292" i="1" s="1"/>
  <c r="C292" i="1" s="1"/>
  <c r="L184" i="1"/>
  <c r="AE291" i="1" s="1"/>
  <c r="K184" i="1"/>
  <c r="Z291" i="1" s="1"/>
  <c r="AC291" i="1" s="1"/>
  <c r="J184" i="1"/>
  <c r="X291" i="1" s="1"/>
  <c r="I184" i="1"/>
  <c r="S291" i="1" s="1"/>
  <c r="W291" i="1" s="1"/>
  <c r="H184" i="1"/>
  <c r="Q291" i="1" s="1"/>
  <c r="G184" i="1"/>
  <c r="L291" i="1" s="1"/>
  <c r="N291" i="1" s="1"/>
  <c r="F184" i="1"/>
  <c r="J291" i="1" s="1"/>
  <c r="E184" i="1"/>
  <c r="F291" i="1" s="1"/>
  <c r="D184" i="1"/>
  <c r="D291" i="1" s="1"/>
  <c r="C291" i="1" s="1"/>
  <c r="L183" i="1"/>
  <c r="AE290" i="1" s="1"/>
  <c r="K183" i="1"/>
  <c r="Z290" i="1" s="1"/>
  <c r="J183" i="1"/>
  <c r="X290" i="1" s="1"/>
  <c r="I183" i="1"/>
  <c r="S290" i="1" s="1"/>
  <c r="H183" i="1"/>
  <c r="Q290" i="1" s="1"/>
  <c r="G183" i="1"/>
  <c r="L290" i="1" s="1"/>
  <c r="R290" i="1" s="1"/>
  <c r="F183" i="1"/>
  <c r="J290" i="1" s="1"/>
  <c r="E183" i="1"/>
  <c r="D183" i="1"/>
  <c r="D290" i="1" s="1"/>
  <c r="C290" i="1" s="1"/>
  <c r="L182" i="1"/>
  <c r="AE289" i="1" s="1"/>
  <c r="K182" i="1"/>
  <c r="Z289" i="1" s="1"/>
  <c r="J182" i="1"/>
  <c r="X289" i="1" s="1"/>
  <c r="I182" i="1"/>
  <c r="S289" i="1" s="1"/>
  <c r="U289" i="1" s="1"/>
  <c r="H182" i="1"/>
  <c r="Q289" i="1" s="1"/>
  <c r="G182" i="1"/>
  <c r="L289" i="1" s="1"/>
  <c r="P289" i="1" s="1"/>
  <c r="F182" i="1"/>
  <c r="J289" i="1" s="1"/>
  <c r="E182" i="1"/>
  <c r="F289" i="1" s="1"/>
  <c r="K289" i="1" s="1"/>
  <c r="D182" i="1"/>
  <c r="D289" i="1" s="1"/>
  <c r="C289" i="1" s="1"/>
  <c r="L181" i="1"/>
  <c r="AE288" i="1" s="1"/>
  <c r="K181" i="1"/>
  <c r="Z288" i="1" s="1"/>
  <c r="J181" i="1"/>
  <c r="X288" i="1" s="1"/>
  <c r="I181" i="1"/>
  <c r="S288" i="1" s="1"/>
  <c r="W288" i="1" s="1"/>
  <c r="H181" i="1"/>
  <c r="Q288" i="1" s="1"/>
  <c r="G181" i="1"/>
  <c r="L288" i="1" s="1"/>
  <c r="F181" i="1"/>
  <c r="J288" i="1" s="1"/>
  <c r="E181" i="1"/>
  <c r="F288" i="1" s="1"/>
  <c r="D181" i="1"/>
  <c r="D288" i="1" s="1"/>
  <c r="C288" i="1" s="1"/>
  <c r="L180" i="1"/>
  <c r="AE287" i="1" s="1"/>
  <c r="K180" i="1"/>
  <c r="Z287" i="1" s="1"/>
  <c r="J180" i="1"/>
  <c r="X287" i="1" s="1"/>
  <c r="I180" i="1"/>
  <c r="S287" i="1" s="1"/>
  <c r="H180" i="1"/>
  <c r="Q287" i="1" s="1"/>
  <c r="G180" i="1"/>
  <c r="L287" i="1" s="1"/>
  <c r="O287" i="1" s="1"/>
  <c r="F180" i="1"/>
  <c r="J287" i="1" s="1"/>
  <c r="E180" i="1"/>
  <c r="F287" i="1" s="1"/>
  <c r="K287" i="1" s="1"/>
  <c r="D180" i="1"/>
  <c r="D287" i="1" s="1"/>
  <c r="C287" i="1" s="1"/>
  <c r="L179" i="1"/>
  <c r="AE286" i="1" s="1"/>
  <c r="K179" i="1"/>
  <c r="Z286" i="1" s="1"/>
  <c r="AD286" i="1" s="1"/>
  <c r="J179" i="1"/>
  <c r="X286" i="1" s="1"/>
  <c r="I179" i="1"/>
  <c r="S286" i="1" s="1"/>
  <c r="U286" i="1" s="1"/>
  <c r="H179" i="1"/>
  <c r="Q286" i="1" s="1"/>
  <c r="G179" i="1"/>
  <c r="L286" i="1" s="1"/>
  <c r="F179" i="1"/>
  <c r="J286" i="1" s="1"/>
  <c r="E179" i="1"/>
  <c r="D179" i="1"/>
  <c r="D286" i="1" s="1"/>
  <c r="C286" i="1" s="1"/>
  <c r="L178" i="1"/>
  <c r="AE285" i="1" s="1"/>
  <c r="K178" i="1"/>
  <c r="Z285" i="1" s="1"/>
  <c r="J178" i="1"/>
  <c r="X285" i="1" s="1"/>
  <c r="I178" i="1"/>
  <c r="S285" i="1" s="1"/>
  <c r="U285" i="1" s="1"/>
  <c r="H178" i="1"/>
  <c r="Q285" i="1" s="1"/>
  <c r="G178" i="1"/>
  <c r="L285" i="1" s="1"/>
  <c r="M285" i="1" s="1"/>
  <c r="F178" i="1"/>
  <c r="J285" i="1" s="1"/>
  <c r="E178" i="1"/>
  <c r="F285" i="1" s="1"/>
  <c r="K285" i="1" s="1"/>
  <c r="D178" i="1"/>
  <c r="D285" i="1" s="1"/>
  <c r="C285" i="1" s="1"/>
  <c r="L177" i="1"/>
  <c r="AE284" i="1" s="1"/>
  <c r="K177" i="1"/>
  <c r="Z284" i="1" s="1"/>
  <c r="J177" i="1"/>
  <c r="X284" i="1" s="1"/>
  <c r="I177" i="1"/>
  <c r="S284" i="1" s="1"/>
  <c r="W284" i="1" s="1"/>
  <c r="H177" i="1"/>
  <c r="Q284" i="1" s="1"/>
  <c r="G177" i="1"/>
  <c r="L284" i="1" s="1"/>
  <c r="R284" i="1" s="1"/>
  <c r="F177" i="1"/>
  <c r="J284" i="1" s="1"/>
  <c r="E177" i="1"/>
  <c r="F284" i="1" s="1"/>
  <c r="D177" i="1"/>
  <c r="D284" i="1" s="1"/>
  <c r="C284" i="1" s="1"/>
  <c r="L176" i="1"/>
  <c r="AE283" i="1" s="1"/>
  <c r="K176" i="1"/>
  <c r="Z283" i="1" s="1"/>
  <c r="AA283" i="1" s="1"/>
  <c r="J176" i="1"/>
  <c r="X283" i="1" s="1"/>
  <c r="I176" i="1"/>
  <c r="S283" i="1" s="1"/>
  <c r="H176" i="1"/>
  <c r="Q283" i="1" s="1"/>
  <c r="G176" i="1"/>
  <c r="L283" i="1" s="1"/>
  <c r="F176" i="1"/>
  <c r="J283" i="1" s="1"/>
  <c r="E176" i="1"/>
  <c r="F283" i="1" s="1"/>
  <c r="H283" i="1" s="1"/>
  <c r="D176" i="1"/>
  <c r="D283" i="1" s="1"/>
  <c r="C283" i="1" s="1"/>
  <c r="L175" i="1"/>
  <c r="AE282" i="1" s="1"/>
  <c r="K175" i="1"/>
  <c r="Z282" i="1" s="1"/>
  <c r="AB282" i="1" s="1"/>
  <c r="J175" i="1"/>
  <c r="X282" i="1" s="1"/>
  <c r="I175" i="1"/>
  <c r="S282" i="1" s="1"/>
  <c r="H175" i="1"/>
  <c r="Q282" i="1" s="1"/>
  <c r="G175" i="1"/>
  <c r="L282" i="1" s="1"/>
  <c r="F175" i="1"/>
  <c r="J282" i="1" s="1"/>
  <c r="E175" i="1"/>
  <c r="F282" i="1" s="1"/>
  <c r="K282" i="1" s="1"/>
  <c r="D175" i="1"/>
  <c r="D282" i="1" s="1"/>
  <c r="C282" i="1" s="1"/>
  <c r="L174" i="1"/>
  <c r="AE281" i="1" s="1"/>
  <c r="K174" i="1"/>
  <c r="Z281" i="1" s="1"/>
  <c r="J174" i="1"/>
  <c r="X281" i="1" s="1"/>
  <c r="I174" i="1"/>
  <c r="S281" i="1" s="1"/>
  <c r="U281" i="1" s="1"/>
  <c r="H174" i="1"/>
  <c r="Q281" i="1" s="1"/>
  <c r="G174" i="1"/>
  <c r="L281" i="1" s="1"/>
  <c r="N281" i="1" s="1"/>
  <c r="F174" i="1"/>
  <c r="J281" i="1" s="1"/>
  <c r="E174" i="1"/>
  <c r="F281" i="1" s="1"/>
  <c r="K281" i="1" s="1"/>
  <c r="D174" i="1"/>
  <c r="D281" i="1" s="1"/>
  <c r="C281" i="1" s="1"/>
  <c r="L173" i="1"/>
  <c r="AE280" i="1" s="1"/>
  <c r="K173" i="1"/>
  <c r="Z280" i="1" s="1"/>
  <c r="J173" i="1"/>
  <c r="X280" i="1" s="1"/>
  <c r="I173" i="1"/>
  <c r="S280" i="1" s="1"/>
  <c r="H173" i="1"/>
  <c r="Q280" i="1" s="1"/>
  <c r="G173" i="1"/>
  <c r="L280" i="1" s="1"/>
  <c r="R280" i="1" s="1"/>
  <c r="F173" i="1"/>
  <c r="J280" i="1" s="1"/>
  <c r="E173" i="1"/>
  <c r="F280" i="1" s="1"/>
  <c r="H280" i="1" s="1"/>
  <c r="D173" i="1"/>
  <c r="D280" i="1" s="1"/>
  <c r="C280" i="1" s="1"/>
  <c r="L172" i="1"/>
  <c r="AE279" i="1" s="1"/>
  <c r="K172" i="1"/>
  <c r="Z279" i="1" s="1"/>
  <c r="AA279" i="1" s="1"/>
  <c r="J172" i="1"/>
  <c r="X279" i="1" s="1"/>
  <c r="I172" i="1"/>
  <c r="S279" i="1" s="1"/>
  <c r="H172" i="1"/>
  <c r="Q279" i="1" s="1"/>
  <c r="G172" i="1"/>
  <c r="L279" i="1" s="1"/>
  <c r="O279" i="1" s="1"/>
  <c r="F172" i="1"/>
  <c r="J279" i="1" s="1"/>
  <c r="E172" i="1"/>
  <c r="F279" i="1" s="1"/>
  <c r="H279" i="1" s="1"/>
  <c r="D172" i="1"/>
  <c r="D279" i="1" s="1"/>
  <c r="C279" i="1" s="1"/>
  <c r="L171" i="1"/>
  <c r="AE278" i="1" s="1"/>
  <c r="K171" i="1"/>
  <c r="Z278" i="1" s="1"/>
  <c r="AF278" i="1" s="1"/>
  <c r="J171" i="1"/>
  <c r="X278" i="1" s="1"/>
  <c r="I171" i="1"/>
  <c r="S278" i="1" s="1"/>
  <c r="U278" i="1" s="1"/>
  <c r="H171" i="1"/>
  <c r="Q278" i="1" s="1"/>
  <c r="G171" i="1"/>
  <c r="L278" i="1" s="1"/>
  <c r="F171" i="1"/>
  <c r="J278" i="1" s="1"/>
  <c r="E171" i="1"/>
  <c r="F278" i="1" s="1"/>
  <c r="D171" i="1"/>
  <c r="D278" i="1" s="1"/>
  <c r="C278" i="1" s="1"/>
  <c r="L170" i="1"/>
  <c r="AE277" i="1" s="1"/>
  <c r="K170" i="1"/>
  <c r="Z277" i="1" s="1"/>
  <c r="J170" i="1"/>
  <c r="X277" i="1" s="1"/>
  <c r="I170" i="1"/>
  <c r="S277" i="1" s="1"/>
  <c r="U277" i="1" s="1"/>
  <c r="H170" i="1"/>
  <c r="Q277" i="1" s="1"/>
  <c r="G170" i="1"/>
  <c r="L277" i="1" s="1"/>
  <c r="M277" i="1" s="1"/>
  <c r="F170" i="1"/>
  <c r="J277" i="1" s="1"/>
  <c r="E170" i="1"/>
  <c r="F277" i="1" s="1"/>
  <c r="K277" i="1" s="1"/>
  <c r="D170" i="1"/>
  <c r="D277" i="1" s="1"/>
  <c r="C277" i="1" s="1"/>
  <c r="L169" i="1"/>
  <c r="AE276" i="1" s="1"/>
  <c r="K169" i="1"/>
  <c r="Z276" i="1" s="1"/>
  <c r="J169" i="1"/>
  <c r="X276" i="1" s="1"/>
  <c r="I169" i="1"/>
  <c r="S276" i="1" s="1"/>
  <c r="V276" i="1" s="1"/>
  <c r="H169" i="1"/>
  <c r="Q276" i="1" s="1"/>
  <c r="G169" i="1"/>
  <c r="L276" i="1" s="1"/>
  <c r="O276" i="1" s="1"/>
  <c r="F169" i="1"/>
  <c r="J276" i="1" s="1"/>
  <c r="E169" i="1"/>
  <c r="F276" i="1" s="1"/>
  <c r="K276" i="1" s="1"/>
  <c r="D169" i="1"/>
  <c r="D276" i="1" s="1"/>
  <c r="C276" i="1" s="1"/>
  <c r="L168" i="1"/>
  <c r="AE275" i="1" s="1"/>
  <c r="K168" i="1"/>
  <c r="Z275" i="1" s="1"/>
  <c r="J168" i="1"/>
  <c r="X275" i="1" s="1"/>
  <c r="I168" i="1"/>
  <c r="S275" i="1" s="1"/>
  <c r="H168" i="1"/>
  <c r="Q275" i="1" s="1"/>
  <c r="G168" i="1"/>
  <c r="L275" i="1" s="1"/>
  <c r="N275" i="1" s="1"/>
  <c r="F168" i="1"/>
  <c r="J275" i="1" s="1"/>
  <c r="E168" i="1"/>
  <c r="F275" i="1" s="1"/>
  <c r="H275" i="1" s="1"/>
  <c r="D168" i="1"/>
  <c r="D275" i="1" s="1"/>
  <c r="C275" i="1" s="1"/>
  <c r="L167" i="1"/>
  <c r="AE274" i="1" s="1"/>
  <c r="K167" i="1"/>
  <c r="Z274" i="1" s="1"/>
  <c r="AF274" i="1" s="1"/>
  <c r="J167" i="1"/>
  <c r="X274" i="1" s="1"/>
  <c r="I167" i="1"/>
  <c r="S274" i="1" s="1"/>
  <c r="H167" i="1"/>
  <c r="Q274" i="1" s="1"/>
  <c r="G167" i="1"/>
  <c r="L274" i="1" s="1"/>
  <c r="O274" i="1" s="1"/>
  <c r="F167" i="1"/>
  <c r="J274" i="1" s="1"/>
  <c r="E167" i="1"/>
  <c r="F274" i="1" s="1"/>
  <c r="D167" i="1"/>
  <c r="D274" i="1" s="1"/>
  <c r="C274" i="1" s="1"/>
  <c r="L166" i="1"/>
  <c r="AE273" i="1" s="1"/>
  <c r="K166" i="1"/>
  <c r="Z273" i="1" s="1"/>
  <c r="AF273" i="1" s="1"/>
  <c r="J166" i="1"/>
  <c r="X273" i="1" s="1"/>
  <c r="I166" i="1"/>
  <c r="S273" i="1" s="1"/>
  <c r="H166" i="1"/>
  <c r="Q273" i="1" s="1"/>
  <c r="G166" i="1"/>
  <c r="L273" i="1" s="1"/>
  <c r="F166" i="1"/>
  <c r="J273" i="1" s="1"/>
  <c r="E166" i="1"/>
  <c r="F273" i="1" s="1"/>
  <c r="D166" i="1"/>
  <c r="D273" i="1" s="1"/>
  <c r="B166" i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L165" i="1"/>
  <c r="AE272" i="1" s="1"/>
  <c r="K165" i="1"/>
  <c r="Z272" i="1" s="1"/>
  <c r="J165" i="1"/>
  <c r="X272" i="1" s="1"/>
  <c r="I165" i="1"/>
  <c r="S272" i="1" s="1"/>
  <c r="H165" i="1"/>
  <c r="Q272" i="1" s="1"/>
  <c r="G165" i="1"/>
  <c r="L272" i="1" s="1"/>
  <c r="R272" i="1" s="1"/>
  <c r="F165" i="1"/>
  <c r="J272" i="1" s="1"/>
  <c r="E165" i="1"/>
  <c r="F272" i="1" s="1"/>
  <c r="D165" i="1"/>
  <c r="D272" i="1" s="1"/>
  <c r="D151" i="1"/>
  <c r="D155" i="1" s="1"/>
  <c r="M4" i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C423" i="1" l="1"/>
  <c r="K527" i="1"/>
  <c r="AF525" i="1"/>
  <c r="AC525" i="1"/>
  <c r="R526" i="1"/>
  <c r="N522" i="1"/>
  <c r="AF522" i="1"/>
  <c r="AD522" i="1"/>
  <c r="W524" i="1"/>
  <c r="K525" i="1"/>
  <c r="AD525" i="1"/>
  <c r="Y527" i="1"/>
  <c r="O523" i="1"/>
  <c r="M526" i="1"/>
  <c r="P523" i="1"/>
  <c r="K524" i="1"/>
  <c r="AB525" i="1"/>
  <c r="H529" i="1"/>
  <c r="R521" i="1"/>
  <c r="R523" i="1"/>
  <c r="AD523" i="1"/>
  <c r="AB524" i="1"/>
  <c r="W528" i="1"/>
  <c r="H522" i="1"/>
  <c r="AC523" i="1"/>
  <c r="Y522" i="1"/>
  <c r="AC524" i="1"/>
  <c r="AA529" i="1"/>
  <c r="U523" i="1"/>
  <c r="AF523" i="1"/>
  <c r="T524" i="1"/>
  <c r="R527" i="1"/>
  <c r="M529" i="1"/>
  <c r="AC529" i="1"/>
  <c r="V522" i="1"/>
  <c r="AA523" i="1"/>
  <c r="V529" i="1"/>
  <c r="P522" i="1"/>
  <c r="AA522" i="1"/>
  <c r="M523" i="1"/>
  <c r="V523" i="1"/>
  <c r="U524" i="1"/>
  <c r="K526" i="1"/>
  <c r="AB528" i="1"/>
  <c r="N529" i="1"/>
  <c r="AD529" i="1"/>
  <c r="W522" i="1"/>
  <c r="T528" i="1"/>
  <c r="AB522" i="1"/>
  <c r="V524" i="1"/>
  <c r="AA525" i="1"/>
  <c r="T527" i="1"/>
  <c r="O528" i="1"/>
  <c r="C461" i="1"/>
  <c r="D580" i="1"/>
  <c r="C580" i="1" s="1"/>
  <c r="D572" i="1"/>
  <c r="C572" i="1" s="1"/>
  <c r="D556" i="1"/>
  <c r="C556" i="1" s="1"/>
  <c r="D564" i="1"/>
  <c r="C564" i="1" s="1"/>
  <c r="K578" i="1"/>
  <c r="H532" i="1"/>
  <c r="K532" i="1"/>
  <c r="AC534" i="1"/>
  <c r="AB534" i="1"/>
  <c r="AA534" i="1"/>
  <c r="AF534" i="1"/>
  <c r="AD534" i="1"/>
  <c r="Y536" i="1"/>
  <c r="V536" i="1"/>
  <c r="U536" i="1"/>
  <c r="T536" i="1"/>
  <c r="P538" i="1"/>
  <c r="R538" i="1"/>
  <c r="Y560" i="1"/>
  <c r="W560" i="1"/>
  <c r="V560" i="1"/>
  <c r="U560" i="1"/>
  <c r="T560" i="1"/>
  <c r="R572" i="1"/>
  <c r="P572" i="1"/>
  <c r="O572" i="1"/>
  <c r="V531" i="1"/>
  <c r="Y531" i="1"/>
  <c r="W531" i="1"/>
  <c r="T531" i="1"/>
  <c r="K573" i="1"/>
  <c r="H573" i="1"/>
  <c r="Y570" i="1"/>
  <c r="W570" i="1"/>
  <c r="V570" i="1"/>
  <c r="U570" i="1"/>
  <c r="T570" i="1"/>
  <c r="N533" i="1"/>
  <c r="O533" i="1"/>
  <c r="M533" i="1"/>
  <c r="P533" i="1"/>
  <c r="R533" i="1"/>
  <c r="W539" i="1"/>
  <c r="Y539" i="1"/>
  <c r="AA530" i="1"/>
  <c r="AC530" i="1"/>
  <c r="M534" i="1"/>
  <c r="P534" i="1"/>
  <c r="O534" i="1"/>
  <c r="N534" i="1"/>
  <c r="T540" i="1"/>
  <c r="Y540" i="1"/>
  <c r="W540" i="1"/>
  <c r="U540" i="1"/>
  <c r="V540" i="1"/>
  <c r="AB535" i="1"/>
  <c r="AD535" i="1"/>
  <c r="AC535" i="1"/>
  <c r="AA535" i="1"/>
  <c r="Y577" i="1"/>
  <c r="W577" i="1"/>
  <c r="V577" i="1"/>
  <c r="U577" i="1"/>
  <c r="T577" i="1"/>
  <c r="O532" i="1"/>
  <c r="N532" i="1"/>
  <c r="P532" i="1"/>
  <c r="R532" i="1"/>
  <c r="K535" i="1"/>
  <c r="H535" i="1"/>
  <c r="AF531" i="1"/>
  <c r="AA531" i="1"/>
  <c r="AB531" i="1"/>
  <c r="V533" i="1"/>
  <c r="W533" i="1"/>
  <c r="U533" i="1"/>
  <c r="P535" i="1"/>
  <c r="M535" i="1"/>
  <c r="R535" i="1"/>
  <c r="N535" i="1"/>
  <c r="O535" i="1"/>
  <c r="H537" i="1"/>
  <c r="K537" i="1"/>
  <c r="R559" i="1"/>
  <c r="P559" i="1"/>
  <c r="O559" i="1"/>
  <c r="N559" i="1"/>
  <c r="M559" i="1"/>
  <c r="M540" i="1"/>
  <c r="P540" i="1"/>
  <c r="O540" i="1"/>
  <c r="N540" i="1"/>
  <c r="AC532" i="1"/>
  <c r="AD532" i="1"/>
  <c r="AA532" i="1"/>
  <c r="AF532" i="1"/>
  <c r="H538" i="1"/>
  <c r="K538" i="1"/>
  <c r="H554" i="1"/>
  <c r="K554" i="1"/>
  <c r="Y558" i="1"/>
  <c r="W558" i="1"/>
  <c r="V558" i="1"/>
  <c r="U558" i="1"/>
  <c r="T558" i="1"/>
  <c r="K533" i="1"/>
  <c r="H533" i="1"/>
  <c r="Y530" i="1"/>
  <c r="U530" i="1"/>
  <c r="T530" i="1"/>
  <c r="AF537" i="1"/>
  <c r="AB537" i="1"/>
  <c r="AA537" i="1"/>
  <c r="AC537" i="1"/>
  <c r="K531" i="1"/>
  <c r="H531" i="1"/>
  <c r="T535" i="1"/>
  <c r="V535" i="1"/>
  <c r="U535" i="1"/>
  <c r="W535" i="1"/>
  <c r="K539" i="1"/>
  <c r="H539" i="1"/>
  <c r="AF549" i="1"/>
  <c r="AD549" i="1"/>
  <c r="AC549" i="1"/>
  <c r="AB549" i="1"/>
  <c r="AA549" i="1"/>
  <c r="K579" i="1"/>
  <c r="H579" i="1"/>
  <c r="T541" i="1"/>
  <c r="W541" i="1"/>
  <c r="V541" i="1"/>
  <c r="U541" i="1"/>
  <c r="AD547" i="1"/>
  <c r="AC547" i="1"/>
  <c r="AB547" i="1"/>
  <c r="AA547" i="1"/>
  <c r="AF547" i="1"/>
  <c r="K553" i="1"/>
  <c r="H553" i="1"/>
  <c r="K569" i="1"/>
  <c r="H569" i="1"/>
  <c r="AF579" i="1"/>
  <c r="AC579" i="1"/>
  <c r="AB579" i="1"/>
  <c r="T534" i="1"/>
  <c r="AC540" i="1"/>
  <c r="AD540" i="1"/>
  <c r="AB540" i="1"/>
  <c r="Y542" i="1"/>
  <c r="W542" i="1"/>
  <c r="V542" i="1"/>
  <c r="U542" i="1"/>
  <c r="T542" i="1"/>
  <c r="P544" i="1"/>
  <c r="R544" i="1"/>
  <c r="K546" i="1"/>
  <c r="H546" i="1"/>
  <c r="AA548" i="1"/>
  <c r="AF548" i="1"/>
  <c r="AC548" i="1"/>
  <c r="AB548" i="1"/>
  <c r="Y550" i="1"/>
  <c r="U550" i="1"/>
  <c r="O552" i="1"/>
  <c r="N552" i="1"/>
  <c r="M552" i="1"/>
  <c r="R552" i="1"/>
  <c r="P552" i="1"/>
  <c r="H562" i="1"/>
  <c r="K562" i="1"/>
  <c r="AF564" i="1"/>
  <c r="AD564" i="1"/>
  <c r="AC564" i="1"/>
  <c r="AA564" i="1"/>
  <c r="Y566" i="1"/>
  <c r="W566" i="1"/>
  <c r="V566" i="1"/>
  <c r="U566" i="1"/>
  <c r="P568" i="1"/>
  <c r="R568" i="1"/>
  <c r="AA572" i="1"/>
  <c r="AD572" i="1"/>
  <c r="AC572" i="1"/>
  <c r="AB572" i="1"/>
  <c r="AF572" i="1"/>
  <c r="Y574" i="1"/>
  <c r="V574" i="1"/>
  <c r="U574" i="1"/>
  <c r="T574" i="1"/>
  <c r="R576" i="1"/>
  <c r="P576" i="1"/>
  <c r="O576" i="1"/>
  <c r="M576" i="1"/>
  <c r="AF580" i="1"/>
  <c r="AC580" i="1"/>
  <c r="AB580" i="1"/>
  <c r="P530" i="1"/>
  <c r="V534" i="1"/>
  <c r="AC536" i="1"/>
  <c r="P539" i="1"/>
  <c r="AF540" i="1"/>
  <c r="K543" i="1"/>
  <c r="K545" i="1"/>
  <c r="H545" i="1"/>
  <c r="AF541" i="1"/>
  <c r="AD541" i="1"/>
  <c r="AC541" i="1"/>
  <c r="P545" i="1"/>
  <c r="R545" i="1"/>
  <c r="W551" i="1"/>
  <c r="Y551" i="1"/>
  <c r="U551" i="1"/>
  <c r="T551" i="1"/>
  <c r="R553" i="1"/>
  <c r="O553" i="1"/>
  <c r="N553" i="1"/>
  <c r="K555" i="1"/>
  <c r="H555" i="1"/>
  <c r="T559" i="1"/>
  <c r="W559" i="1"/>
  <c r="U559" i="1"/>
  <c r="H563" i="1"/>
  <c r="K563" i="1"/>
  <c r="AB565" i="1"/>
  <c r="AD565" i="1"/>
  <c r="AC565" i="1"/>
  <c r="P569" i="1"/>
  <c r="R569" i="1"/>
  <c r="AF573" i="1"/>
  <c r="AA573" i="1"/>
  <c r="AD573" i="1"/>
  <c r="AB573" i="1"/>
  <c r="W575" i="1"/>
  <c r="Y575" i="1"/>
  <c r="U575" i="1"/>
  <c r="T575" i="1"/>
  <c r="R577" i="1"/>
  <c r="O577" i="1"/>
  <c r="N577" i="1"/>
  <c r="W534" i="1"/>
  <c r="AD536" i="1"/>
  <c r="C449" i="1"/>
  <c r="F552" i="1"/>
  <c r="K552" i="1" s="1"/>
  <c r="K560" i="1"/>
  <c r="H560" i="1"/>
  <c r="K561" i="1"/>
  <c r="H561" i="1"/>
  <c r="AF571" i="1"/>
  <c r="AD571" i="1"/>
  <c r="AC571" i="1"/>
  <c r="AB571" i="1"/>
  <c r="AB536" i="1"/>
  <c r="O539" i="1"/>
  <c r="AA542" i="1"/>
  <c r="AD542" i="1"/>
  <c r="AC542" i="1"/>
  <c r="AB542" i="1"/>
  <c r="AF574" i="1"/>
  <c r="AD574" i="1"/>
  <c r="AC574" i="1"/>
  <c r="M546" i="1"/>
  <c r="N546" i="1"/>
  <c r="R546" i="1"/>
  <c r="O546" i="1"/>
  <c r="T552" i="1"/>
  <c r="W552" i="1"/>
  <c r="V552" i="1"/>
  <c r="U552" i="1"/>
  <c r="K556" i="1"/>
  <c r="H556" i="1"/>
  <c r="AF558" i="1"/>
  <c r="AD558" i="1"/>
  <c r="AC558" i="1"/>
  <c r="AB558" i="1"/>
  <c r="P562" i="1"/>
  <c r="M562" i="1"/>
  <c r="R562" i="1"/>
  <c r="AA566" i="1"/>
  <c r="AD566" i="1"/>
  <c r="AB566" i="1"/>
  <c r="M570" i="1"/>
  <c r="P570" i="1"/>
  <c r="O570" i="1"/>
  <c r="N570" i="1"/>
  <c r="R570" i="1"/>
  <c r="U576" i="1"/>
  <c r="T576" i="1"/>
  <c r="Y576" i="1"/>
  <c r="V576" i="1"/>
  <c r="R578" i="1"/>
  <c r="O578" i="1"/>
  <c r="N578" i="1"/>
  <c r="M578" i="1"/>
  <c r="R530" i="1"/>
  <c r="R539" i="1"/>
  <c r="AB564" i="1"/>
  <c r="N576" i="1"/>
  <c r="AC546" i="1"/>
  <c r="AD546" i="1"/>
  <c r="H568" i="1"/>
  <c r="K568" i="1"/>
  <c r="AF578" i="1"/>
  <c r="AD578" i="1"/>
  <c r="AC578" i="1"/>
  <c r="AB578" i="1"/>
  <c r="AA578" i="1"/>
  <c r="AF543" i="1"/>
  <c r="AA543" i="1"/>
  <c r="AD543" i="1"/>
  <c r="AB543" i="1"/>
  <c r="W545" i="1"/>
  <c r="Y545" i="1"/>
  <c r="R547" i="1"/>
  <c r="P547" i="1"/>
  <c r="O547" i="1"/>
  <c r="M547" i="1"/>
  <c r="AF551" i="1"/>
  <c r="AB551" i="1"/>
  <c r="U553" i="1"/>
  <c r="T553" i="1"/>
  <c r="Y553" i="1"/>
  <c r="V553" i="1"/>
  <c r="K557" i="1"/>
  <c r="H557" i="1"/>
  <c r="AC559" i="1"/>
  <c r="AB559" i="1"/>
  <c r="AA559" i="1"/>
  <c r="AF559" i="1"/>
  <c r="AD559" i="1"/>
  <c r="AD567" i="1"/>
  <c r="AC567" i="1"/>
  <c r="AB567" i="1"/>
  <c r="AA567" i="1"/>
  <c r="W569" i="1"/>
  <c r="Y569" i="1"/>
  <c r="R571" i="1"/>
  <c r="O571" i="1"/>
  <c r="N571" i="1"/>
  <c r="M571" i="1"/>
  <c r="P571" i="1"/>
  <c r="AF575" i="1"/>
  <c r="AC575" i="1"/>
  <c r="AB575" i="1"/>
  <c r="H581" i="1"/>
  <c r="K581" i="1"/>
  <c r="AA541" i="1"/>
  <c r="H549" i="1"/>
  <c r="M553" i="1"/>
  <c r="W576" i="1"/>
  <c r="H580" i="1"/>
  <c r="K544" i="1"/>
  <c r="H544" i="1"/>
  <c r="Y548" i="1"/>
  <c r="U548" i="1"/>
  <c r="T548" i="1"/>
  <c r="V548" i="1"/>
  <c r="M558" i="1"/>
  <c r="P558" i="1"/>
  <c r="O558" i="1"/>
  <c r="N558" i="1"/>
  <c r="U564" i="1"/>
  <c r="Y564" i="1"/>
  <c r="W564" i="1"/>
  <c r="V564" i="1"/>
  <c r="Y572" i="1"/>
  <c r="U572" i="1"/>
  <c r="T572" i="1"/>
  <c r="V572" i="1"/>
  <c r="AF555" i="1"/>
  <c r="AC555" i="1"/>
  <c r="AB555" i="1"/>
  <c r="AA555" i="1"/>
  <c r="P563" i="1"/>
  <c r="R563" i="1"/>
  <c r="C431" i="1"/>
  <c r="C439" i="1"/>
  <c r="F542" i="1"/>
  <c r="W546" i="1"/>
  <c r="V546" i="1"/>
  <c r="U546" i="1"/>
  <c r="T546" i="1"/>
  <c r="C447" i="1"/>
  <c r="F550" i="1"/>
  <c r="AB552" i="1"/>
  <c r="AF552" i="1"/>
  <c r="AD552" i="1"/>
  <c r="Y554" i="1"/>
  <c r="T554" i="1"/>
  <c r="U554" i="1"/>
  <c r="P556" i="1"/>
  <c r="R556" i="1"/>
  <c r="C455" i="1"/>
  <c r="AA560" i="1"/>
  <c r="AD560" i="1"/>
  <c r="AB560" i="1"/>
  <c r="R564" i="1"/>
  <c r="O564" i="1"/>
  <c r="N564" i="1"/>
  <c r="M564" i="1"/>
  <c r="P564" i="1"/>
  <c r="K566" i="1"/>
  <c r="H566" i="1"/>
  <c r="H574" i="1"/>
  <c r="K574" i="1"/>
  <c r="AC576" i="1"/>
  <c r="AB576" i="1"/>
  <c r="AA576" i="1"/>
  <c r="AF576" i="1"/>
  <c r="AD576" i="1"/>
  <c r="Y578" i="1"/>
  <c r="U578" i="1"/>
  <c r="AB541" i="1"/>
  <c r="W553" i="1"/>
  <c r="F558" i="1"/>
  <c r="H570" i="1"/>
  <c r="AA580" i="1"/>
  <c r="P550" i="1"/>
  <c r="R550" i="1"/>
  <c r="N550" i="1"/>
  <c r="M550" i="1"/>
  <c r="AD554" i="1"/>
  <c r="AC554" i="1"/>
  <c r="AB554" i="1"/>
  <c r="AA554" i="1"/>
  <c r="P574" i="1"/>
  <c r="R574" i="1"/>
  <c r="M574" i="1"/>
  <c r="N574" i="1"/>
  <c r="W557" i="1"/>
  <c r="Y557" i="1"/>
  <c r="Y565" i="1"/>
  <c r="W565" i="1"/>
  <c r="V565" i="1"/>
  <c r="T565" i="1"/>
  <c r="Y573" i="1"/>
  <c r="W573" i="1"/>
  <c r="V573" i="1"/>
  <c r="M530" i="1"/>
  <c r="R541" i="1"/>
  <c r="O541" i="1"/>
  <c r="N541" i="1"/>
  <c r="M541" i="1"/>
  <c r="T547" i="1"/>
  <c r="V547" i="1"/>
  <c r="U547" i="1"/>
  <c r="R549" i="1"/>
  <c r="N549" i="1"/>
  <c r="K551" i="1"/>
  <c r="H551" i="1"/>
  <c r="AA553" i="1"/>
  <c r="AD553" i="1"/>
  <c r="AC553" i="1"/>
  <c r="AB553" i="1"/>
  <c r="N557" i="1"/>
  <c r="M557" i="1"/>
  <c r="R557" i="1"/>
  <c r="O557" i="1"/>
  <c r="AF561" i="1"/>
  <c r="AC561" i="1"/>
  <c r="AB561" i="1"/>
  <c r="AA561" i="1"/>
  <c r="AD561" i="1"/>
  <c r="W563" i="1"/>
  <c r="Y563" i="1"/>
  <c r="T563" i="1"/>
  <c r="R565" i="1"/>
  <c r="P565" i="1"/>
  <c r="O565" i="1"/>
  <c r="N565" i="1"/>
  <c r="C464" i="1"/>
  <c r="F567" i="1"/>
  <c r="T571" i="1"/>
  <c r="Y571" i="1"/>
  <c r="W571" i="1"/>
  <c r="V571" i="1"/>
  <c r="U571" i="1"/>
  <c r="R573" i="1"/>
  <c r="N573" i="1"/>
  <c r="M573" i="1"/>
  <c r="O573" i="1"/>
  <c r="C472" i="1"/>
  <c r="F575" i="1"/>
  <c r="AF577" i="1"/>
  <c r="AD577" i="1"/>
  <c r="AC577" i="1"/>
  <c r="AA577" i="1"/>
  <c r="Y579" i="1"/>
  <c r="V579" i="1"/>
  <c r="T579" i="1"/>
  <c r="O581" i="1"/>
  <c r="R581" i="1"/>
  <c r="AF565" i="1"/>
  <c r="AC573" i="1"/>
  <c r="P581" i="1"/>
  <c r="AA581" i="1"/>
  <c r="M577" i="1"/>
  <c r="T578" i="1"/>
  <c r="AA579" i="1"/>
  <c r="R580" i="1"/>
  <c r="Y581" i="1"/>
  <c r="M579" i="1"/>
  <c r="H576" i="1"/>
  <c r="P577" i="1"/>
  <c r="W578" i="1"/>
  <c r="N579" i="1"/>
  <c r="AD579" i="1"/>
  <c r="M580" i="1"/>
  <c r="U580" i="1"/>
  <c r="T581" i="1"/>
  <c r="AB581" i="1"/>
  <c r="H577" i="1"/>
  <c r="P578" i="1"/>
  <c r="O579" i="1"/>
  <c r="W579" i="1"/>
  <c r="N580" i="1"/>
  <c r="V580" i="1"/>
  <c r="AD580" i="1"/>
  <c r="M581" i="1"/>
  <c r="U581" i="1"/>
  <c r="AC581" i="1"/>
  <c r="P579" i="1"/>
  <c r="O580" i="1"/>
  <c r="W580" i="1"/>
  <c r="N581" i="1"/>
  <c r="V581" i="1"/>
  <c r="AD581" i="1"/>
  <c r="T580" i="1"/>
  <c r="AD570" i="1"/>
  <c r="M572" i="1"/>
  <c r="T573" i="1"/>
  <c r="AA574" i="1"/>
  <c r="R575" i="1"/>
  <c r="AF570" i="1"/>
  <c r="N572" i="1"/>
  <c r="U573" i="1"/>
  <c r="AB574" i="1"/>
  <c r="H571" i="1"/>
  <c r="M575" i="1"/>
  <c r="AA570" i="1"/>
  <c r="H572" i="1"/>
  <c r="P573" i="1"/>
  <c r="O574" i="1"/>
  <c r="W574" i="1"/>
  <c r="N575" i="1"/>
  <c r="V575" i="1"/>
  <c r="AD575" i="1"/>
  <c r="AB570" i="1"/>
  <c r="O575" i="1"/>
  <c r="N566" i="1"/>
  <c r="M567" i="1"/>
  <c r="T568" i="1"/>
  <c r="H564" i="1"/>
  <c r="O566" i="1"/>
  <c r="N567" i="1"/>
  <c r="V567" i="1"/>
  <c r="M568" i="1"/>
  <c r="U568" i="1"/>
  <c r="AC568" i="1"/>
  <c r="T569" i="1"/>
  <c r="AB569" i="1"/>
  <c r="H565" i="1"/>
  <c r="P566" i="1"/>
  <c r="AF566" i="1"/>
  <c r="O567" i="1"/>
  <c r="W567" i="1"/>
  <c r="N568" i="1"/>
  <c r="V568" i="1"/>
  <c r="AD568" i="1"/>
  <c r="M569" i="1"/>
  <c r="U569" i="1"/>
  <c r="AC569" i="1"/>
  <c r="AB568" i="1"/>
  <c r="P567" i="1"/>
  <c r="O568" i="1"/>
  <c r="W568" i="1"/>
  <c r="N569" i="1"/>
  <c r="V569" i="1"/>
  <c r="AD569" i="1"/>
  <c r="U567" i="1"/>
  <c r="AA569" i="1"/>
  <c r="T564" i="1"/>
  <c r="AA565" i="1"/>
  <c r="R566" i="1"/>
  <c r="Y567" i="1"/>
  <c r="AF568" i="1"/>
  <c r="O569" i="1"/>
  <c r="M560" i="1"/>
  <c r="N560" i="1"/>
  <c r="M561" i="1"/>
  <c r="U561" i="1"/>
  <c r="T562" i="1"/>
  <c r="AB562" i="1"/>
  <c r="AA563" i="1"/>
  <c r="AA562" i="1"/>
  <c r="O560" i="1"/>
  <c r="N561" i="1"/>
  <c r="V561" i="1"/>
  <c r="U562" i="1"/>
  <c r="AC562" i="1"/>
  <c r="AB563" i="1"/>
  <c r="R558" i="1"/>
  <c r="H559" i="1"/>
  <c r="Y559" i="1"/>
  <c r="P560" i="1"/>
  <c r="AF560" i="1"/>
  <c r="O561" i="1"/>
  <c r="W561" i="1"/>
  <c r="N562" i="1"/>
  <c r="V562" i="1"/>
  <c r="AD562" i="1"/>
  <c r="M563" i="1"/>
  <c r="U563" i="1"/>
  <c r="AC563" i="1"/>
  <c r="T561" i="1"/>
  <c r="P561" i="1"/>
  <c r="O562" i="1"/>
  <c r="W562" i="1"/>
  <c r="N563" i="1"/>
  <c r="V563" i="1"/>
  <c r="AD563" i="1"/>
  <c r="O563" i="1"/>
  <c r="N554" i="1"/>
  <c r="M555" i="1"/>
  <c r="U555" i="1"/>
  <c r="T556" i="1"/>
  <c r="AB556" i="1"/>
  <c r="AA557" i="1"/>
  <c r="Y552" i="1"/>
  <c r="P553" i="1"/>
  <c r="AF553" i="1"/>
  <c r="O554" i="1"/>
  <c r="W554" i="1"/>
  <c r="N555" i="1"/>
  <c r="V555" i="1"/>
  <c r="AD555" i="1"/>
  <c r="M556" i="1"/>
  <c r="U556" i="1"/>
  <c r="AC556" i="1"/>
  <c r="T557" i="1"/>
  <c r="AB557" i="1"/>
  <c r="M554" i="1"/>
  <c r="T555" i="1"/>
  <c r="AA556" i="1"/>
  <c r="P554" i="1"/>
  <c r="O555" i="1"/>
  <c r="W555" i="1"/>
  <c r="N556" i="1"/>
  <c r="V556" i="1"/>
  <c r="AD556" i="1"/>
  <c r="U557" i="1"/>
  <c r="AC557" i="1"/>
  <c r="AA552" i="1"/>
  <c r="P555" i="1"/>
  <c r="O556" i="1"/>
  <c r="W556" i="1"/>
  <c r="V557" i="1"/>
  <c r="AD557" i="1"/>
  <c r="M548" i="1"/>
  <c r="T549" i="1"/>
  <c r="AA550" i="1"/>
  <c r="R551" i="1"/>
  <c r="P546" i="1"/>
  <c r="AF546" i="1"/>
  <c r="W547" i="1"/>
  <c r="N548" i="1"/>
  <c r="AD548" i="1"/>
  <c r="M549" i="1"/>
  <c r="U549" i="1"/>
  <c r="T550" i="1"/>
  <c r="AB550" i="1"/>
  <c r="AA551" i="1"/>
  <c r="V549" i="1"/>
  <c r="H547" i="1"/>
  <c r="P548" i="1"/>
  <c r="O549" i="1"/>
  <c r="W549" i="1"/>
  <c r="V550" i="1"/>
  <c r="AD550" i="1"/>
  <c r="AC551" i="1"/>
  <c r="AC550" i="1"/>
  <c r="AA546" i="1"/>
  <c r="H548" i="1"/>
  <c r="P549" i="1"/>
  <c r="O550" i="1"/>
  <c r="W550" i="1"/>
  <c r="N551" i="1"/>
  <c r="V551" i="1"/>
  <c r="AD551" i="1"/>
  <c r="O548" i="1"/>
  <c r="AB546" i="1"/>
  <c r="O551" i="1"/>
  <c r="M551" i="1"/>
  <c r="M543" i="1"/>
  <c r="U543" i="1"/>
  <c r="AA545" i="1"/>
  <c r="H540" i="1"/>
  <c r="O542" i="1"/>
  <c r="N543" i="1"/>
  <c r="V543" i="1"/>
  <c r="M544" i="1"/>
  <c r="U544" i="1"/>
  <c r="AC544" i="1"/>
  <c r="T545" i="1"/>
  <c r="AB545" i="1"/>
  <c r="M542" i="1"/>
  <c r="R540" i="1"/>
  <c r="H541" i="1"/>
  <c r="Y541" i="1"/>
  <c r="P542" i="1"/>
  <c r="AF542" i="1"/>
  <c r="O543" i="1"/>
  <c r="W543" i="1"/>
  <c r="N544" i="1"/>
  <c r="V544" i="1"/>
  <c r="AD544" i="1"/>
  <c r="M545" i="1"/>
  <c r="U545" i="1"/>
  <c r="AC545" i="1"/>
  <c r="T544" i="1"/>
  <c r="AA540" i="1"/>
  <c r="P543" i="1"/>
  <c r="O544" i="1"/>
  <c r="W544" i="1"/>
  <c r="N545" i="1"/>
  <c r="V545" i="1"/>
  <c r="AD545" i="1"/>
  <c r="T543" i="1"/>
  <c r="AA544" i="1"/>
  <c r="N542" i="1"/>
  <c r="AF544" i="1"/>
  <c r="O545" i="1"/>
  <c r="N536" i="1"/>
  <c r="M537" i="1"/>
  <c r="U537" i="1"/>
  <c r="T538" i="1"/>
  <c r="AB538" i="1"/>
  <c r="AA539" i="1"/>
  <c r="T537" i="1"/>
  <c r="H534" i="1"/>
  <c r="Y534" i="1"/>
  <c r="AF535" i="1"/>
  <c r="O536" i="1"/>
  <c r="W536" i="1"/>
  <c r="N537" i="1"/>
  <c r="V537" i="1"/>
  <c r="AD537" i="1"/>
  <c r="M538" i="1"/>
  <c r="U538" i="1"/>
  <c r="AC538" i="1"/>
  <c r="T539" i="1"/>
  <c r="AB539" i="1"/>
  <c r="R534" i="1"/>
  <c r="Y535" i="1"/>
  <c r="P536" i="1"/>
  <c r="AF536" i="1"/>
  <c r="O537" i="1"/>
  <c r="W537" i="1"/>
  <c r="N538" i="1"/>
  <c r="V538" i="1"/>
  <c r="AD538" i="1"/>
  <c r="M539" i="1"/>
  <c r="U539" i="1"/>
  <c r="AC539" i="1"/>
  <c r="M536" i="1"/>
  <c r="AA538" i="1"/>
  <c r="H536" i="1"/>
  <c r="P537" i="1"/>
  <c r="O538" i="1"/>
  <c r="W538" i="1"/>
  <c r="V539" i="1"/>
  <c r="AD539" i="1"/>
  <c r="N528" i="1"/>
  <c r="V528" i="1"/>
  <c r="AD528" i="1"/>
  <c r="U529" i="1"/>
  <c r="AB530" i="1"/>
  <c r="Y533" i="1"/>
  <c r="P528" i="1"/>
  <c r="AF528" i="1"/>
  <c r="O529" i="1"/>
  <c r="W529" i="1"/>
  <c r="N530" i="1"/>
  <c r="V530" i="1"/>
  <c r="AD530" i="1"/>
  <c r="M531" i="1"/>
  <c r="U531" i="1"/>
  <c r="AC531" i="1"/>
  <c r="T532" i="1"/>
  <c r="AB532" i="1"/>
  <c r="AA533" i="1"/>
  <c r="H528" i="1"/>
  <c r="Y528" i="1"/>
  <c r="P529" i="1"/>
  <c r="AF529" i="1"/>
  <c r="W530" i="1"/>
  <c r="N531" i="1"/>
  <c r="AD531" i="1"/>
  <c r="M532" i="1"/>
  <c r="U532" i="1"/>
  <c r="T533" i="1"/>
  <c r="AB533" i="1"/>
  <c r="R528" i="1"/>
  <c r="Y529" i="1"/>
  <c r="AF530" i="1"/>
  <c r="O531" i="1"/>
  <c r="V532" i="1"/>
  <c r="AC533" i="1"/>
  <c r="AA528" i="1"/>
  <c r="H530" i="1"/>
  <c r="P531" i="1"/>
  <c r="W532" i="1"/>
  <c r="AD533" i="1"/>
  <c r="T525" i="1"/>
  <c r="W523" i="1"/>
  <c r="N524" i="1"/>
  <c r="AD524" i="1"/>
  <c r="M525" i="1"/>
  <c r="U525" i="1"/>
  <c r="T526" i="1"/>
  <c r="AB526" i="1"/>
  <c r="AA527" i="1"/>
  <c r="M524" i="1"/>
  <c r="AA526" i="1"/>
  <c r="O524" i="1"/>
  <c r="N525" i="1"/>
  <c r="V525" i="1"/>
  <c r="U526" i="1"/>
  <c r="AC526" i="1"/>
  <c r="AB527" i="1"/>
  <c r="R522" i="1"/>
  <c r="H523" i="1"/>
  <c r="Y523" i="1"/>
  <c r="P524" i="1"/>
  <c r="AF524" i="1"/>
  <c r="O525" i="1"/>
  <c r="W525" i="1"/>
  <c r="N526" i="1"/>
  <c r="V526" i="1"/>
  <c r="AD526" i="1"/>
  <c r="M527" i="1"/>
  <c r="U527" i="1"/>
  <c r="AC527" i="1"/>
  <c r="P525" i="1"/>
  <c r="O526" i="1"/>
  <c r="W526" i="1"/>
  <c r="N527" i="1"/>
  <c r="V527" i="1"/>
  <c r="AD527" i="1"/>
  <c r="T522" i="1"/>
  <c r="O527" i="1"/>
  <c r="Y521" i="1"/>
  <c r="AA521" i="1"/>
  <c r="T521" i="1"/>
  <c r="AB521" i="1"/>
  <c r="M521" i="1"/>
  <c r="U521" i="1"/>
  <c r="AC521" i="1"/>
  <c r="N521" i="1"/>
  <c r="V521" i="1"/>
  <c r="AD521" i="1"/>
  <c r="O521" i="1"/>
  <c r="C434" i="1"/>
  <c r="C450" i="1"/>
  <c r="C443" i="1"/>
  <c r="C451" i="1"/>
  <c r="C459" i="1"/>
  <c r="C467" i="1"/>
  <c r="C475" i="1"/>
  <c r="C442" i="1"/>
  <c r="C458" i="1"/>
  <c r="C418" i="1"/>
  <c r="C426" i="1"/>
  <c r="C474" i="1"/>
  <c r="C466" i="1"/>
  <c r="C448" i="1"/>
  <c r="C456" i="1"/>
  <c r="C424" i="1"/>
  <c r="C432" i="1"/>
  <c r="C440" i="1"/>
  <c r="C465" i="1"/>
  <c r="C473" i="1"/>
  <c r="C420" i="1"/>
  <c r="C428" i="1"/>
  <c r="C436" i="1"/>
  <c r="C444" i="1"/>
  <c r="C452" i="1"/>
  <c r="C460" i="1"/>
  <c r="C468" i="1"/>
  <c r="C476" i="1"/>
  <c r="C421" i="1"/>
  <c r="C429" i="1"/>
  <c r="C437" i="1"/>
  <c r="C445" i="1"/>
  <c r="C435" i="1"/>
  <c r="C422" i="1"/>
  <c r="C430" i="1"/>
  <c r="C438" i="1"/>
  <c r="C446" i="1"/>
  <c r="C454" i="1"/>
  <c r="C462" i="1"/>
  <c r="C470" i="1"/>
  <c r="C478" i="1"/>
  <c r="C463" i="1"/>
  <c r="C471" i="1"/>
  <c r="C419" i="1"/>
  <c r="C427" i="1"/>
  <c r="C425" i="1"/>
  <c r="C433" i="1"/>
  <c r="C441" i="1"/>
  <c r="C457" i="1"/>
  <c r="M312" i="1"/>
  <c r="Y329" i="1"/>
  <c r="V312" i="1"/>
  <c r="K349" i="1"/>
  <c r="K361" i="1"/>
  <c r="Y325" i="1"/>
  <c r="H333" i="1"/>
  <c r="K333" i="1"/>
  <c r="R327" i="1"/>
  <c r="T337" i="1"/>
  <c r="Y341" i="1"/>
  <c r="M336" i="1"/>
  <c r="AC342" i="1"/>
  <c r="R371" i="1"/>
  <c r="H338" i="1"/>
  <c r="Y311" i="1"/>
  <c r="K321" i="1"/>
  <c r="M332" i="1"/>
  <c r="K357" i="1"/>
  <c r="K370" i="1"/>
  <c r="K337" i="1"/>
  <c r="K311" i="1"/>
  <c r="H311" i="1"/>
  <c r="AF313" i="1"/>
  <c r="AD313" i="1"/>
  <c r="AC313" i="1"/>
  <c r="AB313" i="1"/>
  <c r="AA313" i="1"/>
  <c r="O357" i="1"/>
  <c r="R357" i="1"/>
  <c r="P357" i="1"/>
  <c r="M357" i="1"/>
  <c r="K320" i="1"/>
  <c r="H320" i="1"/>
  <c r="AF315" i="1"/>
  <c r="AC315" i="1"/>
  <c r="P367" i="1"/>
  <c r="R367" i="1"/>
  <c r="H318" i="1"/>
  <c r="K318" i="1"/>
  <c r="K358" i="1"/>
  <c r="H358" i="1"/>
  <c r="W321" i="1"/>
  <c r="Y321" i="1"/>
  <c r="P323" i="1"/>
  <c r="R323" i="1"/>
  <c r="W372" i="1"/>
  <c r="Y372" i="1"/>
  <c r="T372" i="1"/>
  <c r="M316" i="1"/>
  <c r="P319" i="1"/>
  <c r="R319" i="1"/>
  <c r="K323" i="1"/>
  <c r="H323" i="1"/>
  <c r="K325" i="1"/>
  <c r="H325" i="1"/>
  <c r="H360" i="1"/>
  <c r="K360" i="1"/>
  <c r="W363" i="1"/>
  <c r="Y363" i="1"/>
  <c r="V363" i="1"/>
  <c r="P317" i="1"/>
  <c r="R317" i="1"/>
  <c r="W331" i="1"/>
  <c r="Y331" i="1"/>
  <c r="K343" i="1"/>
  <c r="H343" i="1"/>
  <c r="K351" i="1"/>
  <c r="H351" i="1"/>
  <c r="W355" i="1"/>
  <c r="U355" i="1"/>
  <c r="T355" i="1"/>
  <c r="Y355" i="1"/>
  <c r="AF361" i="1"/>
  <c r="AB361" i="1"/>
  <c r="H367" i="1"/>
  <c r="K367" i="1"/>
  <c r="R316" i="1"/>
  <c r="P340" i="1"/>
  <c r="R340" i="1"/>
  <c r="AA368" i="1"/>
  <c r="AF322" i="1"/>
  <c r="AA322" i="1"/>
  <c r="H328" i="1"/>
  <c r="K328" i="1"/>
  <c r="O342" i="1"/>
  <c r="R342" i="1"/>
  <c r="P342" i="1"/>
  <c r="N342" i="1"/>
  <c r="M342" i="1"/>
  <c r="Y348" i="1"/>
  <c r="U348" i="1"/>
  <c r="H352" i="1"/>
  <c r="K352" i="1"/>
  <c r="P366" i="1"/>
  <c r="R366" i="1"/>
  <c r="H368" i="1"/>
  <c r="K368" i="1"/>
  <c r="AF370" i="1"/>
  <c r="AB370" i="1"/>
  <c r="AA370" i="1"/>
  <c r="N312" i="1"/>
  <c r="O313" i="1"/>
  <c r="R315" i="1"/>
  <c r="H317" i="1"/>
  <c r="R318" i="1"/>
  <c r="H332" i="1"/>
  <c r="K332" i="1"/>
  <c r="K335" i="1"/>
  <c r="H344" i="1"/>
  <c r="P353" i="1"/>
  <c r="R353" i="1"/>
  <c r="AB368" i="1"/>
  <c r="H334" i="1"/>
  <c r="K334" i="1"/>
  <c r="P325" i="1"/>
  <c r="R325" i="1"/>
  <c r="AF337" i="1"/>
  <c r="AB337" i="1"/>
  <c r="P341" i="1"/>
  <c r="R341" i="1"/>
  <c r="W347" i="1"/>
  <c r="U347" i="1"/>
  <c r="T347" i="1"/>
  <c r="Y347" i="1"/>
  <c r="W317" i="1"/>
  <c r="T317" i="1"/>
  <c r="H329" i="1"/>
  <c r="K329" i="1"/>
  <c r="W333" i="1"/>
  <c r="U333" i="1"/>
  <c r="Y333" i="1"/>
  <c r="T333" i="1"/>
  <c r="P335" i="1"/>
  <c r="R335" i="1"/>
  <c r="AF339" i="1"/>
  <c r="AB339" i="1"/>
  <c r="H345" i="1"/>
  <c r="K345" i="1"/>
  <c r="C239" i="1"/>
  <c r="D346" i="1"/>
  <c r="W349" i="1"/>
  <c r="T349" i="1"/>
  <c r="Y349" i="1"/>
  <c r="P351" i="1"/>
  <c r="R351" i="1"/>
  <c r="H353" i="1"/>
  <c r="K353" i="1"/>
  <c r="O359" i="1"/>
  <c r="R359" i="1"/>
  <c r="P359" i="1"/>
  <c r="AC363" i="1"/>
  <c r="AD363" i="1"/>
  <c r="AF363" i="1"/>
  <c r="W365" i="1"/>
  <c r="Y365" i="1"/>
  <c r="T365" i="1"/>
  <c r="K369" i="1"/>
  <c r="H369" i="1"/>
  <c r="K314" i="1"/>
  <c r="R320" i="1"/>
  <c r="H322" i="1"/>
  <c r="K336" i="1"/>
  <c r="P345" i="1"/>
  <c r="R345" i="1"/>
  <c r="AC312" i="1"/>
  <c r="AB312" i="1"/>
  <c r="AA312" i="1"/>
  <c r="P324" i="1"/>
  <c r="R324" i="1"/>
  <c r="P321" i="1"/>
  <c r="R321" i="1"/>
  <c r="H331" i="1"/>
  <c r="K331" i="1"/>
  <c r="W315" i="1"/>
  <c r="Y315" i="1"/>
  <c r="U315" i="1"/>
  <c r="T315" i="1"/>
  <c r="K327" i="1"/>
  <c r="H327" i="1"/>
  <c r="P333" i="1"/>
  <c r="R333" i="1"/>
  <c r="W339" i="1"/>
  <c r="Y339" i="1"/>
  <c r="T339" i="1"/>
  <c r="P365" i="1"/>
  <c r="R365" i="1"/>
  <c r="AF312" i="1"/>
  <c r="R312" i="1"/>
  <c r="P312" i="1"/>
  <c r="H330" i="1"/>
  <c r="K330" i="1"/>
  <c r="H354" i="1"/>
  <c r="K354" i="1"/>
  <c r="AF356" i="1"/>
  <c r="AA356" i="1"/>
  <c r="P338" i="1"/>
  <c r="R338" i="1"/>
  <c r="M338" i="1"/>
  <c r="R313" i="1"/>
  <c r="N313" i="1"/>
  <c r="M313" i="1"/>
  <c r="K315" i="1"/>
  <c r="H315" i="1"/>
  <c r="W319" i="1"/>
  <c r="Y319" i="1"/>
  <c r="P329" i="1"/>
  <c r="R329" i="1"/>
  <c r="N329" i="1"/>
  <c r="W343" i="1"/>
  <c r="Y343" i="1"/>
  <c r="U343" i="1"/>
  <c r="T343" i="1"/>
  <c r="AF349" i="1"/>
  <c r="AB349" i="1"/>
  <c r="K363" i="1"/>
  <c r="H363" i="1"/>
  <c r="AB322" i="1"/>
  <c r="AF326" i="1"/>
  <c r="AA326" i="1"/>
  <c r="AB326" i="1"/>
  <c r="R350" i="1"/>
  <c r="K366" i="1"/>
  <c r="H366" i="1"/>
  <c r="P311" i="1"/>
  <c r="R311" i="1"/>
  <c r="H346" i="1"/>
  <c r="K346" i="1"/>
  <c r="K371" i="1"/>
  <c r="H371" i="1"/>
  <c r="U312" i="1"/>
  <c r="T312" i="1"/>
  <c r="Y312" i="1"/>
  <c r="AF334" i="1"/>
  <c r="AB334" i="1"/>
  <c r="AA334" i="1"/>
  <c r="Y360" i="1"/>
  <c r="U360" i="1"/>
  <c r="P362" i="1"/>
  <c r="R362" i="1"/>
  <c r="H364" i="1"/>
  <c r="K364" i="1"/>
  <c r="Y317" i="1"/>
  <c r="K319" i="1"/>
  <c r="H339" i="1"/>
  <c r="H348" i="1"/>
  <c r="K348" i="1"/>
  <c r="AF358" i="1"/>
  <c r="AB358" i="1"/>
  <c r="AA358" i="1"/>
  <c r="P344" i="1"/>
  <c r="M344" i="1"/>
  <c r="K362" i="1"/>
  <c r="H362" i="1"/>
  <c r="H372" i="1"/>
  <c r="K372" i="1"/>
  <c r="R344" i="1"/>
  <c r="R352" i="1"/>
  <c r="P336" i="1"/>
  <c r="N336" i="1"/>
  <c r="Y342" i="1"/>
  <c r="U342" i="1"/>
  <c r="P360" i="1"/>
  <c r="N360" i="1"/>
  <c r="M360" i="1"/>
  <c r="C240" i="1"/>
  <c r="F347" i="1"/>
  <c r="W367" i="1"/>
  <c r="Y367" i="1"/>
  <c r="T313" i="1"/>
  <c r="M314" i="1"/>
  <c r="H316" i="1"/>
  <c r="U336" i="1"/>
  <c r="H341" i="1"/>
  <c r="K355" i="1"/>
  <c r="K356" i="1"/>
  <c r="H356" i="1"/>
  <c r="C217" i="1"/>
  <c r="F324" i="1"/>
  <c r="P346" i="1"/>
  <c r="N346" i="1"/>
  <c r="M346" i="1"/>
  <c r="AF350" i="1"/>
  <c r="AA350" i="1"/>
  <c r="O354" i="1"/>
  <c r="P354" i="1"/>
  <c r="N354" i="1"/>
  <c r="M354" i="1"/>
  <c r="U313" i="1"/>
  <c r="N314" i="1"/>
  <c r="K326" i="1"/>
  <c r="R330" i="1"/>
  <c r="R331" i="1"/>
  <c r="U338" i="1"/>
  <c r="R369" i="1"/>
  <c r="R372" i="1"/>
  <c r="W337" i="1"/>
  <c r="U337" i="1"/>
  <c r="AF343" i="1"/>
  <c r="AB343" i="1"/>
  <c r="W345" i="1"/>
  <c r="Y345" i="1"/>
  <c r="T345" i="1"/>
  <c r="U353" i="1"/>
  <c r="Y353" i="1"/>
  <c r="W361" i="1"/>
  <c r="U361" i="1"/>
  <c r="T361" i="1"/>
  <c r="O363" i="1"/>
  <c r="P363" i="1"/>
  <c r="N363" i="1"/>
  <c r="C258" i="1"/>
  <c r="F365" i="1"/>
  <c r="V313" i="1"/>
  <c r="P332" i="1"/>
  <c r="N332" i="1"/>
  <c r="H342" i="1"/>
  <c r="K342" i="1"/>
  <c r="P348" i="1"/>
  <c r="M348" i="1"/>
  <c r="H350" i="1"/>
  <c r="K350" i="1"/>
  <c r="V362" i="1"/>
  <c r="Y362" i="1"/>
  <c r="W362" i="1"/>
  <c r="P364" i="1"/>
  <c r="M364" i="1"/>
  <c r="W313" i="1"/>
  <c r="R314" i="1"/>
  <c r="R328" i="1"/>
  <c r="K340" i="1"/>
  <c r="Y351" i="1"/>
  <c r="R364" i="1"/>
  <c r="C265" i="1"/>
  <c r="AA372" i="1"/>
  <c r="AB372" i="1"/>
  <c r="M372" i="1"/>
  <c r="U372" i="1"/>
  <c r="AC372" i="1"/>
  <c r="N372" i="1"/>
  <c r="V372" i="1"/>
  <c r="AD372" i="1"/>
  <c r="O372" i="1"/>
  <c r="R370" i="1"/>
  <c r="Y371" i="1"/>
  <c r="AA371" i="1"/>
  <c r="M370" i="1"/>
  <c r="U370" i="1"/>
  <c r="AC370" i="1"/>
  <c r="T371" i="1"/>
  <c r="AB371" i="1"/>
  <c r="T370" i="1"/>
  <c r="N370" i="1"/>
  <c r="V370" i="1"/>
  <c r="AD370" i="1"/>
  <c r="M371" i="1"/>
  <c r="U371" i="1"/>
  <c r="AC371" i="1"/>
  <c r="O370" i="1"/>
  <c r="W370" i="1"/>
  <c r="N371" i="1"/>
  <c r="V371" i="1"/>
  <c r="AD371" i="1"/>
  <c r="O371" i="1"/>
  <c r="R368" i="1"/>
  <c r="Y369" i="1"/>
  <c r="T368" i="1"/>
  <c r="AA369" i="1"/>
  <c r="M368" i="1"/>
  <c r="U368" i="1"/>
  <c r="AC368" i="1"/>
  <c r="T369" i="1"/>
  <c r="AB369" i="1"/>
  <c r="N368" i="1"/>
  <c r="V368" i="1"/>
  <c r="AD368" i="1"/>
  <c r="M369" i="1"/>
  <c r="U369" i="1"/>
  <c r="AC369" i="1"/>
  <c r="O368" i="1"/>
  <c r="W368" i="1"/>
  <c r="N369" i="1"/>
  <c r="V369" i="1"/>
  <c r="AD369" i="1"/>
  <c r="O369" i="1"/>
  <c r="T366" i="1"/>
  <c r="AB366" i="1"/>
  <c r="AA367" i="1"/>
  <c r="M366" i="1"/>
  <c r="U366" i="1"/>
  <c r="AC366" i="1"/>
  <c r="T367" i="1"/>
  <c r="AB367" i="1"/>
  <c r="N366" i="1"/>
  <c r="V366" i="1"/>
  <c r="AD366" i="1"/>
  <c r="M367" i="1"/>
  <c r="U367" i="1"/>
  <c r="AC367" i="1"/>
  <c r="AA366" i="1"/>
  <c r="O366" i="1"/>
  <c r="W366" i="1"/>
  <c r="N367" i="1"/>
  <c r="V367" i="1"/>
  <c r="AD367" i="1"/>
  <c r="O367" i="1"/>
  <c r="T364" i="1"/>
  <c r="AB364" i="1"/>
  <c r="AA365" i="1"/>
  <c r="U364" i="1"/>
  <c r="AC364" i="1"/>
  <c r="AB365" i="1"/>
  <c r="AA364" i="1"/>
  <c r="N364" i="1"/>
  <c r="V364" i="1"/>
  <c r="AD364" i="1"/>
  <c r="M365" i="1"/>
  <c r="U365" i="1"/>
  <c r="AC365" i="1"/>
  <c r="O364" i="1"/>
  <c r="W364" i="1"/>
  <c r="N365" i="1"/>
  <c r="V365" i="1"/>
  <c r="AD365" i="1"/>
  <c r="O365" i="1"/>
  <c r="AA362" i="1"/>
  <c r="T362" i="1"/>
  <c r="AB362" i="1"/>
  <c r="AA363" i="1"/>
  <c r="M362" i="1"/>
  <c r="U362" i="1"/>
  <c r="AC362" i="1"/>
  <c r="T363" i="1"/>
  <c r="AB363" i="1"/>
  <c r="N362" i="1"/>
  <c r="AD362" i="1"/>
  <c r="M363" i="1"/>
  <c r="U363" i="1"/>
  <c r="AA360" i="1"/>
  <c r="R361" i="1"/>
  <c r="T360" i="1"/>
  <c r="AB360" i="1"/>
  <c r="AA361" i="1"/>
  <c r="V360" i="1"/>
  <c r="AD360" i="1"/>
  <c r="M361" i="1"/>
  <c r="AC361" i="1"/>
  <c r="O360" i="1"/>
  <c r="W360" i="1"/>
  <c r="N361" i="1"/>
  <c r="V361" i="1"/>
  <c r="AD361" i="1"/>
  <c r="AC360" i="1"/>
  <c r="O361" i="1"/>
  <c r="R358" i="1"/>
  <c r="H359" i="1"/>
  <c r="Y359" i="1"/>
  <c r="T358" i="1"/>
  <c r="AA359" i="1"/>
  <c r="M358" i="1"/>
  <c r="U358" i="1"/>
  <c r="AC358" i="1"/>
  <c r="T359" i="1"/>
  <c r="AB359" i="1"/>
  <c r="N358" i="1"/>
  <c r="V358" i="1"/>
  <c r="AD358" i="1"/>
  <c r="M359" i="1"/>
  <c r="U359" i="1"/>
  <c r="AC359" i="1"/>
  <c r="O358" i="1"/>
  <c r="W358" i="1"/>
  <c r="N359" i="1"/>
  <c r="V359" i="1"/>
  <c r="AD359" i="1"/>
  <c r="R356" i="1"/>
  <c r="Y357" i="1"/>
  <c r="T356" i="1"/>
  <c r="AB356" i="1"/>
  <c r="AA357" i="1"/>
  <c r="M356" i="1"/>
  <c r="U356" i="1"/>
  <c r="AC356" i="1"/>
  <c r="T357" i="1"/>
  <c r="AB357" i="1"/>
  <c r="N356" i="1"/>
  <c r="V356" i="1"/>
  <c r="AD356" i="1"/>
  <c r="U357" i="1"/>
  <c r="AC357" i="1"/>
  <c r="O356" i="1"/>
  <c r="W356" i="1"/>
  <c r="N357" i="1"/>
  <c r="V357" i="1"/>
  <c r="AD357" i="1"/>
  <c r="AA354" i="1"/>
  <c r="R355" i="1"/>
  <c r="T354" i="1"/>
  <c r="AB354" i="1"/>
  <c r="AA355" i="1"/>
  <c r="U354" i="1"/>
  <c r="AB355" i="1"/>
  <c r="V354" i="1"/>
  <c r="AD354" i="1"/>
  <c r="M355" i="1"/>
  <c r="AC355" i="1"/>
  <c r="AC354" i="1"/>
  <c r="W354" i="1"/>
  <c r="N355" i="1"/>
  <c r="V355" i="1"/>
  <c r="AD355" i="1"/>
  <c r="O355" i="1"/>
  <c r="U352" i="1"/>
  <c r="AB353" i="1"/>
  <c r="N352" i="1"/>
  <c r="M353" i="1"/>
  <c r="O352" i="1"/>
  <c r="W352" i="1"/>
  <c r="N353" i="1"/>
  <c r="V353" i="1"/>
  <c r="AD353" i="1"/>
  <c r="V352" i="1"/>
  <c r="AD352" i="1"/>
  <c r="AC353" i="1"/>
  <c r="P352" i="1"/>
  <c r="AF352" i="1"/>
  <c r="O353" i="1"/>
  <c r="W353" i="1"/>
  <c r="AA352" i="1"/>
  <c r="T352" i="1"/>
  <c r="AB352" i="1"/>
  <c r="AA353" i="1"/>
  <c r="T353" i="1"/>
  <c r="T350" i="1"/>
  <c r="AB350" i="1"/>
  <c r="AA351" i="1"/>
  <c r="M350" i="1"/>
  <c r="U350" i="1"/>
  <c r="AC350" i="1"/>
  <c r="T351" i="1"/>
  <c r="AB351" i="1"/>
  <c r="N350" i="1"/>
  <c r="V350" i="1"/>
  <c r="AD350" i="1"/>
  <c r="M351" i="1"/>
  <c r="U351" i="1"/>
  <c r="AC351" i="1"/>
  <c r="O350" i="1"/>
  <c r="W350" i="1"/>
  <c r="N351" i="1"/>
  <c r="V351" i="1"/>
  <c r="AD351" i="1"/>
  <c r="O351" i="1"/>
  <c r="AA348" i="1"/>
  <c r="R349" i="1"/>
  <c r="T348" i="1"/>
  <c r="AB348" i="1"/>
  <c r="AA349" i="1"/>
  <c r="AC348" i="1"/>
  <c r="N348" i="1"/>
  <c r="V348" i="1"/>
  <c r="AD348" i="1"/>
  <c r="M349" i="1"/>
  <c r="U349" i="1"/>
  <c r="AC349" i="1"/>
  <c r="O348" i="1"/>
  <c r="W348" i="1"/>
  <c r="N349" i="1"/>
  <c r="V349" i="1"/>
  <c r="AD349" i="1"/>
  <c r="O349" i="1"/>
  <c r="AA346" i="1"/>
  <c r="R347" i="1"/>
  <c r="T346" i="1"/>
  <c r="AB346" i="1"/>
  <c r="AA347" i="1"/>
  <c r="AC346" i="1"/>
  <c r="AB347" i="1"/>
  <c r="V346" i="1"/>
  <c r="AD346" i="1"/>
  <c r="M347" i="1"/>
  <c r="AC347" i="1"/>
  <c r="U346" i="1"/>
  <c r="O346" i="1"/>
  <c r="W346" i="1"/>
  <c r="N347" i="1"/>
  <c r="V347" i="1"/>
  <c r="AD347" i="1"/>
  <c r="O347" i="1"/>
  <c r="AA344" i="1"/>
  <c r="T344" i="1"/>
  <c r="AB344" i="1"/>
  <c r="AA345" i="1"/>
  <c r="U344" i="1"/>
  <c r="AC344" i="1"/>
  <c r="AB345" i="1"/>
  <c r="N344" i="1"/>
  <c r="V344" i="1"/>
  <c r="AD344" i="1"/>
  <c r="M345" i="1"/>
  <c r="U345" i="1"/>
  <c r="AC345" i="1"/>
  <c r="O344" i="1"/>
  <c r="W344" i="1"/>
  <c r="N345" i="1"/>
  <c r="V345" i="1"/>
  <c r="AD345" i="1"/>
  <c r="O345" i="1"/>
  <c r="AA342" i="1"/>
  <c r="R343" i="1"/>
  <c r="T342" i="1"/>
  <c r="AB342" i="1"/>
  <c r="AA343" i="1"/>
  <c r="V342" i="1"/>
  <c r="AD342" i="1"/>
  <c r="M343" i="1"/>
  <c r="AC343" i="1"/>
  <c r="W342" i="1"/>
  <c r="N343" i="1"/>
  <c r="V343" i="1"/>
  <c r="AD343" i="1"/>
  <c r="O343" i="1"/>
  <c r="T340" i="1"/>
  <c r="AB340" i="1"/>
  <c r="AA341" i="1"/>
  <c r="M340" i="1"/>
  <c r="U340" i="1"/>
  <c r="AB341" i="1"/>
  <c r="N340" i="1"/>
  <c r="V340" i="1"/>
  <c r="AD340" i="1"/>
  <c r="M341" i="1"/>
  <c r="U341" i="1"/>
  <c r="AC341" i="1"/>
  <c r="AA340" i="1"/>
  <c r="AC340" i="1"/>
  <c r="O340" i="1"/>
  <c r="W340" i="1"/>
  <c r="N341" i="1"/>
  <c r="V341" i="1"/>
  <c r="AD341" i="1"/>
  <c r="T341" i="1"/>
  <c r="O341" i="1"/>
  <c r="AA338" i="1"/>
  <c r="R339" i="1"/>
  <c r="T338" i="1"/>
  <c r="AB338" i="1"/>
  <c r="AA339" i="1"/>
  <c r="N338" i="1"/>
  <c r="V338" i="1"/>
  <c r="AD338" i="1"/>
  <c r="M339" i="1"/>
  <c r="U339" i="1"/>
  <c r="AC339" i="1"/>
  <c r="O338" i="1"/>
  <c r="W338" i="1"/>
  <c r="N339" i="1"/>
  <c r="V339" i="1"/>
  <c r="AD339" i="1"/>
  <c r="AF338" i="1"/>
  <c r="O339" i="1"/>
  <c r="AA336" i="1"/>
  <c r="R337" i="1"/>
  <c r="T336" i="1"/>
  <c r="AB336" i="1"/>
  <c r="AA337" i="1"/>
  <c r="AC336" i="1"/>
  <c r="V336" i="1"/>
  <c r="AD336" i="1"/>
  <c r="M337" i="1"/>
  <c r="AC337" i="1"/>
  <c r="O336" i="1"/>
  <c r="W336" i="1"/>
  <c r="N337" i="1"/>
  <c r="V337" i="1"/>
  <c r="AD337" i="1"/>
  <c r="O337" i="1"/>
  <c r="R334" i="1"/>
  <c r="Y335" i="1"/>
  <c r="T334" i="1"/>
  <c r="AA335" i="1"/>
  <c r="M334" i="1"/>
  <c r="U334" i="1"/>
  <c r="AC334" i="1"/>
  <c r="T335" i="1"/>
  <c r="AB335" i="1"/>
  <c r="N334" i="1"/>
  <c r="V334" i="1"/>
  <c r="AD334" i="1"/>
  <c r="M335" i="1"/>
  <c r="U335" i="1"/>
  <c r="AC335" i="1"/>
  <c r="O334" i="1"/>
  <c r="W334" i="1"/>
  <c r="N335" i="1"/>
  <c r="V335" i="1"/>
  <c r="AD335" i="1"/>
  <c r="O335" i="1"/>
  <c r="AA332" i="1"/>
  <c r="T332" i="1"/>
  <c r="AB332" i="1"/>
  <c r="AA333" i="1"/>
  <c r="V332" i="1"/>
  <c r="AD332" i="1"/>
  <c r="M333" i="1"/>
  <c r="AC333" i="1"/>
  <c r="U332" i="1"/>
  <c r="AC332" i="1"/>
  <c r="AB333" i="1"/>
  <c r="O332" i="1"/>
  <c r="W332" i="1"/>
  <c r="N333" i="1"/>
  <c r="V333" i="1"/>
  <c r="AD333" i="1"/>
  <c r="O333" i="1"/>
  <c r="T330" i="1"/>
  <c r="AB330" i="1"/>
  <c r="AA331" i="1"/>
  <c r="M330" i="1"/>
  <c r="U330" i="1"/>
  <c r="AC330" i="1"/>
  <c r="T331" i="1"/>
  <c r="AB331" i="1"/>
  <c r="N330" i="1"/>
  <c r="V330" i="1"/>
  <c r="AD330" i="1"/>
  <c r="M331" i="1"/>
  <c r="U331" i="1"/>
  <c r="AC331" i="1"/>
  <c r="O330" i="1"/>
  <c r="W330" i="1"/>
  <c r="N331" i="1"/>
  <c r="V331" i="1"/>
  <c r="AD331" i="1"/>
  <c r="AA330" i="1"/>
  <c r="O331" i="1"/>
  <c r="T328" i="1"/>
  <c r="AB328" i="1"/>
  <c r="AA329" i="1"/>
  <c r="M328" i="1"/>
  <c r="U328" i="1"/>
  <c r="AC328" i="1"/>
  <c r="T329" i="1"/>
  <c r="AB329" i="1"/>
  <c r="N328" i="1"/>
  <c r="V328" i="1"/>
  <c r="AD328" i="1"/>
  <c r="M329" i="1"/>
  <c r="U329" i="1"/>
  <c r="AC329" i="1"/>
  <c r="AA328" i="1"/>
  <c r="O328" i="1"/>
  <c r="W328" i="1"/>
  <c r="V329" i="1"/>
  <c r="AD329" i="1"/>
  <c r="O329" i="1"/>
  <c r="R326" i="1"/>
  <c r="Y327" i="1"/>
  <c r="T326" i="1"/>
  <c r="M326" i="1"/>
  <c r="U326" i="1"/>
  <c r="AC326" i="1"/>
  <c r="T327" i="1"/>
  <c r="AB327" i="1"/>
  <c r="N326" i="1"/>
  <c r="V326" i="1"/>
  <c r="AD326" i="1"/>
  <c r="M327" i="1"/>
  <c r="U327" i="1"/>
  <c r="AC327" i="1"/>
  <c r="O326" i="1"/>
  <c r="W326" i="1"/>
  <c r="N327" i="1"/>
  <c r="V327" i="1"/>
  <c r="AD327" i="1"/>
  <c r="AA327" i="1"/>
  <c r="O327" i="1"/>
  <c r="M324" i="1"/>
  <c r="AB325" i="1"/>
  <c r="N324" i="1"/>
  <c r="V324" i="1"/>
  <c r="AD324" i="1"/>
  <c r="M325" i="1"/>
  <c r="U325" i="1"/>
  <c r="AC325" i="1"/>
  <c r="AA324" i="1"/>
  <c r="T325" i="1"/>
  <c r="O324" i="1"/>
  <c r="W324" i="1"/>
  <c r="N325" i="1"/>
  <c r="V325" i="1"/>
  <c r="AD325" i="1"/>
  <c r="T324" i="1"/>
  <c r="AB324" i="1"/>
  <c r="AA325" i="1"/>
  <c r="AF324" i="1"/>
  <c r="O325" i="1"/>
  <c r="U324" i="1"/>
  <c r="R322" i="1"/>
  <c r="Y323" i="1"/>
  <c r="AA323" i="1"/>
  <c r="M322" i="1"/>
  <c r="U322" i="1"/>
  <c r="AC322" i="1"/>
  <c r="T323" i="1"/>
  <c r="AB323" i="1"/>
  <c r="T322" i="1"/>
  <c r="N322" i="1"/>
  <c r="V322" i="1"/>
  <c r="AD322" i="1"/>
  <c r="M323" i="1"/>
  <c r="U323" i="1"/>
  <c r="AC323" i="1"/>
  <c r="O322" i="1"/>
  <c r="W322" i="1"/>
  <c r="N323" i="1"/>
  <c r="V323" i="1"/>
  <c r="AD323" i="1"/>
  <c r="O323" i="1"/>
  <c r="T320" i="1"/>
  <c r="AB320" i="1"/>
  <c r="M320" i="1"/>
  <c r="U320" i="1"/>
  <c r="AC320" i="1"/>
  <c r="T321" i="1"/>
  <c r="AB321" i="1"/>
  <c r="N320" i="1"/>
  <c r="V320" i="1"/>
  <c r="AD320" i="1"/>
  <c r="M321" i="1"/>
  <c r="U321" i="1"/>
  <c r="AC321" i="1"/>
  <c r="AA321" i="1"/>
  <c r="O320" i="1"/>
  <c r="W320" i="1"/>
  <c r="N321" i="1"/>
  <c r="V321" i="1"/>
  <c r="AD321" i="1"/>
  <c r="AA320" i="1"/>
  <c r="O321" i="1"/>
  <c r="M318" i="1"/>
  <c r="U318" i="1"/>
  <c r="AC318" i="1"/>
  <c r="T319" i="1"/>
  <c r="AB319" i="1"/>
  <c r="N318" i="1"/>
  <c r="V318" i="1"/>
  <c r="AD318" i="1"/>
  <c r="M319" i="1"/>
  <c r="U319" i="1"/>
  <c r="AC319" i="1"/>
  <c r="T318" i="1"/>
  <c r="AB318" i="1"/>
  <c r="AA319" i="1"/>
  <c r="O318" i="1"/>
  <c r="W318" i="1"/>
  <c r="N319" i="1"/>
  <c r="V319" i="1"/>
  <c r="AD319" i="1"/>
  <c r="AF318" i="1"/>
  <c r="O319" i="1"/>
  <c r="AA316" i="1"/>
  <c r="T316" i="1"/>
  <c r="AB316" i="1"/>
  <c r="AA317" i="1"/>
  <c r="U316" i="1"/>
  <c r="AB317" i="1"/>
  <c r="N316" i="1"/>
  <c r="V316" i="1"/>
  <c r="AD316" i="1"/>
  <c r="M317" i="1"/>
  <c r="U317" i="1"/>
  <c r="AC317" i="1"/>
  <c r="AC316" i="1"/>
  <c r="O316" i="1"/>
  <c r="W316" i="1"/>
  <c r="N317" i="1"/>
  <c r="V317" i="1"/>
  <c r="AD317" i="1"/>
  <c r="O317" i="1"/>
  <c r="AA314" i="1"/>
  <c r="T314" i="1"/>
  <c r="AB314" i="1"/>
  <c r="AA315" i="1"/>
  <c r="U314" i="1"/>
  <c r="AC314" i="1"/>
  <c r="AB315" i="1"/>
  <c r="AD314" i="1"/>
  <c r="O314" i="1"/>
  <c r="W314" i="1"/>
  <c r="N315" i="1"/>
  <c r="V315" i="1"/>
  <c r="AD315" i="1"/>
  <c r="V314" i="1"/>
  <c r="M315" i="1"/>
  <c r="O315" i="1"/>
  <c r="H313" i="1"/>
  <c r="H312" i="1"/>
  <c r="AA311" i="1"/>
  <c r="T311" i="1"/>
  <c r="AB311" i="1"/>
  <c r="M311" i="1"/>
  <c r="U311" i="1"/>
  <c r="AC311" i="1"/>
  <c r="N311" i="1"/>
  <c r="V311" i="1"/>
  <c r="AD311" i="1"/>
  <c r="O311" i="1"/>
  <c r="C248" i="1"/>
  <c r="C259" i="1"/>
  <c r="C229" i="1"/>
  <c r="C205" i="1"/>
  <c r="C263" i="1"/>
  <c r="C230" i="1"/>
  <c r="C256" i="1"/>
  <c r="C260" i="1"/>
  <c r="C254" i="1"/>
  <c r="C261" i="1"/>
  <c r="C234" i="1"/>
  <c r="C241" i="1"/>
  <c r="C236" i="1"/>
  <c r="C242" i="1"/>
  <c r="C244" i="1"/>
  <c r="C257" i="1"/>
  <c r="C245" i="1"/>
  <c r="C262" i="1"/>
  <c r="C264" i="1"/>
  <c r="C228" i="1"/>
  <c r="C255" i="1"/>
  <c r="C246" i="1"/>
  <c r="C251" i="1"/>
  <c r="C224" i="1"/>
  <c r="C232" i="1"/>
  <c r="C237" i="1"/>
  <c r="C247" i="1"/>
  <c r="C252" i="1"/>
  <c r="C233" i="1"/>
  <c r="C243" i="1"/>
  <c r="C253" i="1"/>
  <c r="C219" i="1"/>
  <c r="C249" i="1"/>
  <c r="C222" i="1"/>
  <c r="C250" i="1"/>
  <c r="C212" i="1"/>
  <c r="C206" i="1"/>
  <c r="C221" i="1"/>
  <c r="C235" i="1"/>
  <c r="C207" i="1"/>
  <c r="C226" i="1"/>
  <c r="C231" i="1"/>
  <c r="C225" i="1"/>
  <c r="C227" i="1"/>
  <c r="C238" i="1"/>
  <c r="C223" i="1"/>
  <c r="C218" i="1"/>
  <c r="C208" i="1"/>
  <c r="C213" i="1"/>
  <c r="C209" i="1"/>
  <c r="C214" i="1"/>
  <c r="C210" i="1"/>
  <c r="C215" i="1"/>
  <c r="C220" i="1"/>
  <c r="C211" i="1"/>
  <c r="C216" i="1"/>
  <c r="C202" i="1"/>
  <c r="C184" i="1"/>
  <c r="C172" i="1"/>
  <c r="C177" i="1"/>
  <c r="C381" i="1"/>
  <c r="C388" i="1"/>
  <c r="C382" i="1"/>
  <c r="C396" i="1"/>
  <c r="C203" i="1"/>
  <c r="C404" i="1"/>
  <c r="C173" i="1"/>
  <c r="AB283" i="1"/>
  <c r="C413" i="1"/>
  <c r="K306" i="1"/>
  <c r="O482" i="1"/>
  <c r="C168" i="1"/>
  <c r="C193" i="1"/>
  <c r="C200" i="1"/>
  <c r="P279" i="1"/>
  <c r="V284" i="1"/>
  <c r="T505" i="1"/>
  <c r="C188" i="1"/>
  <c r="AC273" i="1"/>
  <c r="P511" i="1"/>
  <c r="D153" i="1"/>
  <c r="C153" i="1" s="1"/>
  <c r="E154" i="1"/>
  <c r="M281" i="1"/>
  <c r="Y285" i="1"/>
  <c r="AC299" i="1"/>
  <c r="C391" i="1"/>
  <c r="C405" i="1"/>
  <c r="C412" i="1"/>
  <c r="C189" i="1"/>
  <c r="C393" i="1"/>
  <c r="V488" i="1"/>
  <c r="D158" i="1"/>
  <c r="C158" i="1" s="1"/>
  <c r="T286" i="1"/>
  <c r="O289" i="1"/>
  <c r="C389" i="1"/>
  <c r="B483" i="1"/>
  <c r="A483" i="1" s="1"/>
  <c r="AB493" i="1"/>
  <c r="K515" i="1"/>
  <c r="V281" i="1"/>
  <c r="H289" i="1"/>
  <c r="C165" i="1"/>
  <c r="C169" i="1"/>
  <c r="C179" i="1"/>
  <c r="C180" i="1"/>
  <c r="C185" i="1"/>
  <c r="C196" i="1"/>
  <c r="C201" i="1"/>
  <c r="N284" i="1"/>
  <c r="AC286" i="1"/>
  <c r="Y289" i="1"/>
  <c r="F309" i="1"/>
  <c r="H309" i="1" s="1"/>
  <c r="H483" i="1"/>
  <c r="AD498" i="1"/>
  <c r="C183" i="1"/>
  <c r="P486" i="1"/>
  <c r="C175" i="1"/>
  <c r="C176" i="1"/>
  <c r="C181" i="1"/>
  <c r="C192" i="1"/>
  <c r="C197" i="1"/>
  <c r="AB278" i="1"/>
  <c r="K280" i="1"/>
  <c r="C380" i="1"/>
  <c r="AB483" i="1"/>
  <c r="V491" i="1"/>
  <c r="K495" i="1"/>
  <c r="AC518" i="1"/>
  <c r="K283" i="1"/>
  <c r="C397" i="1"/>
  <c r="C409" i="1"/>
  <c r="N482" i="1"/>
  <c r="K487" i="1"/>
  <c r="H273" i="1"/>
  <c r="K273" i="1"/>
  <c r="W275" i="1"/>
  <c r="U275" i="1"/>
  <c r="T275" i="1"/>
  <c r="Y275" i="1"/>
  <c r="V275" i="1"/>
  <c r="H278" i="1"/>
  <c r="K278" i="1"/>
  <c r="N282" i="1"/>
  <c r="M282" i="1"/>
  <c r="R282" i="1"/>
  <c r="O282" i="1"/>
  <c r="P282" i="1"/>
  <c r="AB284" i="1"/>
  <c r="AA284" i="1"/>
  <c r="AF284" i="1"/>
  <c r="AC284" i="1"/>
  <c r="AD284" i="1"/>
  <c r="AF295" i="1"/>
  <c r="AD295" i="1"/>
  <c r="AC295" i="1"/>
  <c r="AB295" i="1"/>
  <c r="AA295" i="1"/>
  <c r="P298" i="1"/>
  <c r="O298" i="1"/>
  <c r="N298" i="1"/>
  <c r="M298" i="1"/>
  <c r="R298" i="1"/>
  <c r="R293" i="1"/>
  <c r="P293" i="1"/>
  <c r="O293" i="1"/>
  <c r="N293" i="1"/>
  <c r="M293" i="1"/>
  <c r="K305" i="1"/>
  <c r="H305" i="1"/>
  <c r="W272" i="1"/>
  <c r="V272" i="1"/>
  <c r="T272" i="1"/>
  <c r="Y272" i="1"/>
  <c r="U272" i="1"/>
  <c r="R273" i="1"/>
  <c r="O273" i="1"/>
  <c r="M273" i="1"/>
  <c r="P273" i="1"/>
  <c r="N273" i="1"/>
  <c r="H274" i="1"/>
  <c r="K274" i="1"/>
  <c r="R278" i="1"/>
  <c r="O278" i="1"/>
  <c r="N278" i="1"/>
  <c r="P278" i="1"/>
  <c r="M278" i="1"/>
  <c r="AF280" i="1"/>
  <c r="AC280" i="1"/>
  <c r="AB280" i="1"/>
  <c r="AD280" i="1"/>
  <c r="AA280" i="1"/>
  <c r="P283" i="1"/>
  <c r="N283" i="1"/>
  <c r="M283" i="1"/>
  <c r="R283" i="1"/>
  <c r="O283" i="1"/>
  <c r="V287" i="1"/>
  <c r="U287" i="1"/>
  <c r="W287" i="1"/>
  <c r="Y287" i="1"/>
  <c r="T287" i="1"/>
  <c r="P288" i="1"/>
  <c r="O288" i="1"/>
  <c r="N288" i="1"/>
  <c r="M288" i="1"/>
  <c r="R288" i="1"/>
  <c r="AD272" i="1"/>
  <c r="AB272" i="1"/>
  <c r="AF272" i="1"/>
  <c r="AC272" i="1"/>
  <c r="AA272" i="1"/>
  <c r="Y273" i="1"/>
  <c r="W273" i="1"/>
  <c r="V273" i="1"/>
  <c r="U273" i="1"/>
  <c r="T273" i="1"/>
  <c r="AB276" i="1"/>
  <c r="AA276" i="1"/>
  <c r="AF276" i="1"/>
  <c r="AC276" i="1"/>
  <c r="AD276" i="1"/>
  <c r="AD292" i="1"/>
  <c r="AC292" i="1"/>
  <c r="AB292" i="1"/>
  <c r="AA292" i="1"/>
  <c r="AF292" i="1"/>
  <c r="AD277" i="1"/>
  <c r="AB277" i="1"/>
  <c r="AA277" i="1"/>
  <c r="AF277" i="1"/>
  <c r="AC277" i="1"/>
  <c r="R301" i="1"/>
  <c r="P301" i="1"/>
  <c r="O301" i="1"/>
  <c r="N301" i="1"/>
  <c r="M301" i="1"/>
  <c r="K272" i="1"/>
  <c r="H272" i="1"/>
  <c r="U274" i="1"/>
  <c r="T274" i="1"/>
  <c r="Y274" i="1"/>
  <c r="V274" i="1"/>
  <c r="W274" i="1"/>
  <c r="R286" i="1"/>
  <c r="O286" i="1"/>
  <c r="N286" i="1"/>
  <c r="P286" i="1"/>
  <c r="M286" i="1"/>
  <c r="Y290" i="1"/>
  <c r="W290" i="1"/>
  <c r="V290" i="1"/>
  <c r="U290" i="1"/>
  <c r="T290" i="1"/>
  <c r="K292" i="1"/>
  <c r="H292" i="1"/>
  <c r="R296" i="1"/>
  <c r="P296" i="1"/>
  <c r="O296" i="1"/>
  <c r="N296" i="1"/>
  <c r="M296" i="1"/>
  <c r="AD300" i="1"/>
  <c r="AC300" i="1"/>
  <c r="AB300" i="1"/>
  <c r="AA300" i="1"/>
  <c r="W280" i="1"/>
  <c r="U280" i="1"/>
  <c r="T280" i="1"/>
  <c r="Y280" i="1"/>
  <c r="D157" i="1"/>
  <c r="C157" i="1" s="1"/>
  <c r="C166" i="1"/>
  <c r="AD273" i="1"/>
  <c r="AA273" i="1"/>
  <c r="O277" i="1"/>
  <c r="N277" i="1"/>
  <c r="P277" i="1"/>
  <c r="C174" i="1"/>
  <c r="AA281" i="1"/>
  <c r="AF281" i="1"/>
  <c r="AB281" i="1"/>
  <c r="O285" i="1"/>
  <c r="N285" i="1"/>
  <c r="P285" i="1"/>
  <c r="C182" i="1"/>
  <c r="K291" i="1"/>
  <c r="H291" i="1"/>
  <c r="W295" i="1"/>
  <c r="V295" i="1"/>
  <c r="U295" i="1"/>
  <c r="T295" i="1"/>
  <c r="Y295" i="1"/>
  <c r="C190" i="1"/>
  <c r="AD297" i="1"/>
  <c r="AC297" i="1"/>
  <c r="AB297" i="1"/>
  <c r="AA297" i="1"/>
  <c r="K299" i="1"/>
  <c r="H299" i="1"/>
  <c r="C198" i="1"/>
  <c r="AF305" i="1"/>
  <c r="AD305" i="1"/>
  <c r="AC305" i="1"/>
  <c r="AB305" i="1"/>
  <c r="K307" i="1"/>
  <c r="H307" i="1"/>
  <c r="C204" i="1"/>
  <c r="P272" i="1"/>
  <c r="AB273" i="1"/>
  <c r="K275" i="1"/>
  <c r="R277" i="1"/>
  <c r="H281" i="1"/>
  <c r="AD281" i="1"/>
  <c r="H287" i="1"/>
  <c r="F290" i="1"/>
  <c r="H297" i="1"/>
  <c r="H303" i="1"/>
  <c r="F501" i="1"/>
  <c r="C398" i="1"/>
  <c r="D520" i="1"/>
  <c r="C520" i="1" s="1"/>
  <c r="C417" i="1"/>
  <c r="K294" i="1"/>
  <c r="H294" i="1"/>
  <c r="V309" i="1"/>
  <c r="U309" i="1"/>
  <c r="W309" i="1"/>
  <c r="T309" i="1"/>
  <c r="Y309" i="1"/>
  <c r="Y283" i="1"/>
  <c r="V283" i="1"/>
  <c r="U283" i="1"/>
  <c r="D497" i="1"/>
  <c r="C497" i="1" s="1"/>
  <c r="C394" i="1"/>
  <c r="P275" i="1"/>
  <c r="O275" i="1"/>
  <c r="M275" i="1"/>
  <c r="AC279" i="1"/>
  <c r="AB279" i="1"/>
  <c r="AD279" i="1"/>
  <c r="Y293" i="1"/>
  <c r="W293" i="1"/>
  <c r="V293" i="1"/>
  <c r="U293" i="1"/>
  <c r="Y301" i="1"/>
  <c r="W301" i="1"/>
  <c r="V301" i="1"/>
  <c r="T301" i="1"/>
  <c r="P307" i="1"/>
  <c r="O307" i="1"/>
  <c r="M307" i="1"/>
  <c r="R307" i="1"/>
  <c r="N307" i="1"/>
  <c r="R275" i="1"/>
  <c r="V280" i="1"/>
  <c r="T283" i="1"/>
  <c r="AD285" i="1"/>
  <c r="AB285" i="1"/>
  <c r="AA285" i="1"/>
  <c r="AF285" i="1"/>
  <c r="W303" i="1"/>
  <c r="V303" i="1"/>
  <c r="U303" i="1"/>
  <c r="T303" i="1"/>
  <c r="Y303" i="1"/>
  <c r="E153" i="1"/>
  <c r="C167" i="1"/>
  <c r="AC274" i="1"/>
  <c r="AB274" i="1"/>
  <c r="AD274" i="1"/>
  <c r="AD282" i="1"/>
  <c r="AC282" i="1"/>
  <c r="AA282" i="1"/>
  <c r="K284" i="1"/>
  <c r="H284" i="1"/>
  <c r="Y288" i="1"/>
  <c r="T288" i="1"/>
  <c r="U288" i="1"/>
  <c r="M294" i="1"/>
  <c r="R294" i="1"/>
  <c r="P294" i="1"/>
  <c r="O294" i="1"/>
  <c r="Y296" i="1"/>
  <c r="W296" i="1"/>
  <c r="V296" i="1"/>
  <c r="U296" i="1"/>
  <c r="C191" i="1"/>
  <c r="M302" i="1"/>
  <c r="R302" i="1"/>
  <c r="P302" i="1"/>
  <c r="N302" i="1"/>
  <c r="W304" i="1"/>
  <c r="T304" i="1"/>
  <c r="V304" i="1"/>
  <c r="U304" i="1"/>
  <c r="C199" i="1"/>
  <c r="AD309" i="1"/>
  <c r="AC309" i="1"/>
  <c r="AA309" i="1"/>
  <c r="AF309" i="1"/>
  <c r="AB309" i="1"/>
  <c r="A273" i="1"/>
  <c r="C273" i="1" s="1"/>
  <c r="AA274" i="1"/>
  <c r="N276" i="1"/>
  <c r="T278" i="1"/>
  <c r="K279" i="1"/>
  <c r="AF279" i="1"/>
  <c r="H282" i="1"/>
  <c r="AF282" i="1"/>
  <c r="W283" i="1"/>
  <c r="O284" i="1"/>
  <c r="H285" i="1"/>
  <c r="AC285" i="1"/>
  <c r="AF297" i="1"/>
  <c r="P310" i="1"/>
  <c r="N310" i="1"/>
  <c r="M310" i="1"/>
  <c r="R310" i="1"/>
  <c r="V282" i="1"/>
  <c r="U282" i="1"/>
  <c r="W282" i="1"/>
  <c r="O304" i="1"/>
  <c r="R304" i="1"/>
  <c r="P304" i="1"/>
  <c r="AA308" i="1"/>
  <c r="AF308" i="1"/>
  <c r="AD308" i="1"/>
  <c r="AC308" i="1"/>
  <c r="AB308" i="1"/>
  <c r="P495" i="1"/>
  <c r="O495" i="1"/>
  <c r="N495" i="1"/>
  <c r="M495" i="1"/>
  <c r="R495" i="1"/>
  <c r="W277" i="1"/>
  <c r="V277" i="1"/>
  <c r="T277" i="1"/>
  <c r="W285" i="1"/>
  <c r="V285" i="1"/>
  <c r="T285" i="1"/>
  <c r="AD287" i="1"/>
  <c r="AC287" i="1"/>
  <c r="AA287" i="1"/>
  <c r="AB287" i="1"/>
  <c r="R291" i="1"/>
  <c r="P291" i="1"/>
  <c r="O291" i="1"/>
  <c r="M291" i="1"/>
  <c r="R299" i="1"/>
  <c r="P299" i="1"/>
  <c r="N299" i="1"/>
  <c r="M299" i="1"/>
  <c r="AF303" i="1"/>
  <c r="AD303" i="1"/>
  <c r="AC303" i="1"/>
  <c r="AB303" i="1"/>
  <c r="Y277" i="1"/>
  <c r="O290" i="1"/>
  <c r="N290" i="1"/>
  <c r="P290" i="1"/>
  <c r="M290" i="1"/>
  <c r="U301" i="1"/>
  <c r="M519" i="1"/>
  <c r="R519" i="1"/>
  <c r="O519" i="1"/>
  <c r="N519" i="1"/>
  <c r="P519" i="1"/>
  <c r="D154" i="1"/>
  <c r="E106" i="1" s="1"/>
  <c r="D159" i="1"/>
  <c r="C159" i="1" s="1"/>
  <c r="C170" i="1"/>
  <c r="R281" i="1"/>
  <c r="P281" i="1"/>
  <c r="O281" i="1"/>
  <c r="C178" i="1"/>
  <c r="M289" i="1"/>
  <c r="R289" i="1"/>
  <c r="N289" i="1"/>
  <c r="T291" i="1"/>
  <c r="Y291" i="1"/>
  <c r="U291" i="1"/>
  <c r="V291" i="1"/>
  <c r="C186" i="1"/>
  <c r="AF293" i="1"/>
  <c r="AD293" i="1"/>
  <c r="AA293" i="1"/>
  <c r="AB293" i="1"/>
  <c r="H295" i="1"/>
  <c r="K295" i="1"/>
  <c r="N297" i="1"/>
  <c r="M297" i="1"/>
  <c r="R297" i="1"/>
  <c r="P297" i="1"/>
  <c r="O297" i="1"/>
  <c r="T299" i="1"/>
  <c r="Y299" i="1"/>
  <c r="V299" i="1"/>
  <c r="U299" i="1"/>
  <c r="W299" i="1"/>
  <c r="C194" i="1"/>
  <c r="AF301" i="1"/>
  <c r="AD301" i="1"/>
  <c r="AB301" i="1"/>
  <c r="AA301" i="1"/>
  <c r="AC301" i="1"/>
  <c r="R305" i="1"/>
  <c r="O305" i="1"/>
  <c r="N305" i="1"/>
  <c r="M305" i="1"/>
  <c r="A274" i="1"/>
  <c r="B275" i="1"/>
  <c r="H277" i="1"/>
  <c r="V288" i="1"/>
  <c r="N294" i="1"/>
  <c r="H300" i="1"/>
  <c r="M304" i="1"/>
  <c r="O310" i="1"/>
  <c r="K302" i="1"/>
  <c r="H302" i="1"/>
  <c r="U306" i="1"/>
  <c r="T306" i="1"/>
  <c r="V306" i="1"/>
  <c r="W306" i="1"/>
  <c r="P276" i="1"/>
  <c r="M276" i="1"/>
  <c r="Y278" i="1"/>
  <c r="W278" i="1"/>
  <c r="V278" i="1"/>
  <c r="P284" i="1"/>
  <c r="M284" i="1"/>
  <c r="Y286" i="1"/>
  <c r="W286" i="1"/>
  <c r="V286" i="1"/>
  <c r="AF288" i="1"/>
  <c r="AD288" i="1"/>
  <c r="AC288" i="1"/>
  <c r="AA288" i="1"/>
  <c r="O292" i="1"/>
  <c r="N292" i="1"/>
  <c r="M292" i="1"/>
  <c r="P292" i="1"/>
  <c r="U294" i="1"/>
  <c r="T294" i="1"/>
  <c r="Y294" i="1"/>
  <c r="V294" i="1"/>
  <c r="AA296" i="1"/>
  <c r="AF296" i="1"/>
  <c r="AB296" i="1"/>
  <c r="H298" i="1"/>
  <c r="K298" i="1"/>
  <c r="O300" i="1"/>
  <c r="N300" i="1"/>
  <c r="M300" i="1"/>
  <c r="P300" i="1"/>
  <c r="U302" i="1"/>
  <c r="T302" i="1"/>
  <c r="Y302" i="1"/>
  <c r="V302" i="1"/>
  <c r="W302" i="1"/>
  <c r="AB304" i="1"/>
  <c r="AF304" i="1"/>
  <c r="AD304" i="1"/>
  <c r="AC304" i="1"/>
  <c r="AA304" i="1"/>
  <c r="AF310" i="1"/>
  <c r="AD310" i="1"/>
  <c r="AC310" i="1"/>
  <c r="AB310" i="1"/>
  <c r="AA310" i="1"/>
  <c r="AF275" i="1"/>
  <c r="AC275" i="1"/>
  <c r="AB275" i="1"/>
  <c r="R276" i="1"/>
  <c r="AF290" i="1"/>
  <c r="AD290" i="1"/>
  <c r="AB290" i="1"/>
  <c r="AA290" i="1"/>
  <c r="AC290" i="1"/>
  <c r="R292" i="1"/>
  <c r="W294" i="1"/>
  <c r="R300" i="1"/>
  <c r="N304" i="1"/>
  <c r="W307" i="1"/>
  <c r="U307" i="1"/>
  <c r="Y307" i="1"/>
  <c r="V307" i="1"/>
  <c r="C386" i="1"/>
  <c r="D489" i="1"/>
  <c r="C489" i="1" s="1"/>
  <c r="AF490" i="1"/>
  <c r="AD490" i="1"/>
  <c r="AC490" i="1"/>
  <c r="AA490" i="1"/>
  <c r="AB490" i="1"/>
  <c r="AF512" i="1"/>
  <c r="AD512" i="1"/>
  <c r="AC512" i="1"/>
  <c r="AB512" i="1"/>
  <c r="AA512" i="1"/>
  <c r="V514" i="1"/>
  <c r="U514" i="1"/>
  <c r="T514" i="1"/>
  <c r="Y514" i="1"/>
  <c r="W514" i="1"/>
  <c r="P280" i="1"/>
  <c r="O280" i="1"/>
  <c r="M280" i="1"/>
  <c r="Y298" i="1"/>
  <c r="W298" i="1"/>
  <c r="V298" i="1"/>
  <c r="U298" i="1"/>
  <c r="T298" i="1"/>
  <c r="M279" i="1"/>
  <c r="R279" i="1"/>
  <c r="N279" i="1"/>
  <c r="W281" i="1"/>
  <c r="T281" i="1"/>
  <c r="AF283" i="1"/>
  <c r="AD283" i="1"/>
  <c r="AC283" i="1"/>
  <c r="N287" i="1"/>
  <c r="M287" i="1"/>
  <c r="P287" i="1"/>
  <c r="R287" i="1"/>
  <c r="T289" i="1"/>
  <c r="W289" i="1"/>
  <c r="V289" i="1"/>
  <c r="AB291" i="1"/>
  <c r="AA291" i="1"/>
  <c r="AF291" i="1"/>
  <c r="AD291" i="1"/>
  <c r="P295" i="1"/>
  <c r="O295" i="1"/>
  <c r="N295" i="1"/>
  <c r="M295" i="1"/>
  <c r="V297" i="1"/>
  <c r="U297" i="1"/>
  <c r="T297" i="1"/>
  <c r="Y297" i="1"/>
  <c r="AB299" i="1"/>
  <c r="AA299" i="1"/>
  <c r="AF299" i="1"/>
  <c r="H301" i="1"/>
  <c r="K301" i="1"/>
  <c r="P303" i="1"/>
  <c r="O303" i="1"/>
  <c r="N303" i="1"/>
  <c r="M303" i="1"/>
  <c r="W305" i="1"/>
  <c r="Y305" i="1"/>
  <c r="V305" i="1"/>
  <c r="U305" i="1"/>
  <c r="T305" i="1"/>
  <c r="AF307" i="1"/>
  <c r="AC307" i="1"/>
  <c r="AB307" i="1"/>
  <c r="AD307" i="1"/>
  <c r="AA307" i="1"/>
  <c r="AA275" i="1"/>
  <c r="U279" i="1"/>
  <c r="T279" i="1"/>
  <c r="Y279" i="1"/>
  <c r="V279" i="1"/>
  <c r="Y281" i="1"/>
  <c r="F286" i="1"/>
  <c r="AB288" i="1"/>
  <c r="AB289" i="1"/>
  <c r="AA289" i="1"/>
  <c r="AF289" i="1"/>
  <c r="AD289" i="1"/>
  <c r="AC289" i="1"/>
  <c r="AC296" i="1"/>
  <c r="AF298" i="1"/>
  <c r="AD298" i="1"/>
  <c r="AC298" i="1"/>
  <c r="AB298" i="1"/>
  <c r="AA298" i="1"/>
  <c r="T307" i="1"/>
  <c r="AD484" i="1"/>
  <c r="AC484" i="1"/>
  <c r="AB484" i="1"/>
  <c r="AA484" i="1"/>
  <c r="AF484" i="1"/>
  <c r="Y485" i="1"/>
  <c r="W485" i="1"/>
  <c r="V485" i="1"/>
  <c r="T485" i="1"/>
  <c r="U485" i="1"/>
  <c r="P487" i="1"/>
  <c r="O487" i="1"/>
  <c r="N487" i="1"/>
  <c r="M487" i="1"/>
  <c r="R487" i="1"/>
  <c r="AF507" i="1"/>
  <c r="AD507" i="1"/>
  <c r="AC507" i="1"/>
  <c r="AB507" i="1"/>
  <c r="AA507" i="1"/>
  <c r="W487" i="1"/>
  <c r="V487" i="1"/>
  <c r="U487" i="1"/>
  <c r="T487" i="1"/>
  <c r="Y487" i="1"/>
  <c r="O272" i="1"/>
  <c r="N272" i="1"/>
  <c r="Y282" i="1"/>
  <c r="M274" i="1"/>
  <c r="R274" i="1"/>
  <c r="N274" i="1"/>
  <c r="T276" i="1"/>
  <c r="Y276" i="1"/>
  <c r="U276" i="1"/>
  <c r="C171" i="1"/>
  <c r="AD278" i="1"/>
  <c r="AA278" i="1"/>
  <c r="T284" i="1"/>
  <c r="Y284" i="1"/>
  <c r="U284" i="1"/>
  <c r="AA286" i="1"/>
  <c r="AF286" i="1"/>
  <c r="AB286" i="1"/>
  <c r="H288" i="1"/>
  <c r="K288" i="1"/>
  <c r="W292" i="1"/>
  <c r="V292" i="1"/>
  <c r="U292" i="1"/>
  <c r="T292" i="1"/>
  <c r="Y292" i="1"/>
  <c r="C187" i="1"/>
  <c r="AC294" i="1"/>
  <c r="AB294" i="1"/>
  <c r="AA294" i="1"/>
  <c r="AD294" i="1"/>
  <c r="K296" i="1"/>
  <c r="H296" i="1"/>
  <c r="W300" i="1"/>
  <c r="V300" i="1"/>
  <c r="U300" i="1"/>
  <c r="T300" i="1"/>
  <c r="Y300" i="1"/>
  <c r="C195" i="1"/>
  <c r="AC302" i="1"/>
  <c r="AB302" i="1"/>
  <c r="AA302" i="1"/>
  <c r="AF302" i="1"/>
  <c r="K304" i="1"/>
  <c r="H304" i="1"/>
  <c r="M306" i="1"/>
  <c r="R306" i="1"/>
  <c r="P306" i="1"/>
  <c r="O306" i="1"/>
  <c r="W308" i="1"/>
  <c r="T308" i="1"/>
  <c r="U308" i="1"/>
  <c r="V308" i="1"/>
  <c r="N309" i="1"/>
  <c r="M309" i="1"/>
  <c r="R309" i="1"/>
  <c r="P309" i="1"/>
  <c r="O309" i="1"/>
  <c r="H310" i="1"/>
  <c r="K310" i="1"/>
  <c r="M272" i="1"/>
  <c r="P274" i="1"/>
  <c r="AD275" i="1"/>
  <c r="W276" i="1"/>
  <c r="AC278" i="1"/>
  <c r="W279" i="1"/>
  <c r="N280" i="1"/>
  <c r="AC281" i="1"/>
  <c r="T282" i="1"/>
  <c r="R285" i="1"/>
  <c r="AF287" i="1"/>
  <c r="K293" i="1"/>
  <c r="AF294" i="1"/>
  <c r="AD296" i="1"/>
  <c r="AF300" i="1"/>
  <c r="AD302" i="1"/>
  <c r="AF481" i="1"/>
  <c r="AD481" i="1"/>
  <c r="AC481" i="1"/>
  <c r="AB481" i="1"/>
  <c r="T482" i="1"/>
  <c r="Y482" i="1"/>
  <c r="U482" i="1"/>
  <c r="W482" i="1"/>
  <c r="V482" i="1"/>
  <c r="U486" i="1"/>
  <c r="T486" i="1"/>
  <c r="Y486" i="1"/>
  <c r="W486" i="1"/>
  <c r="V486" i="1"/>
  <c r="K497" i="1"/>
  <c r="H497" i="1"/>
  <c r="Y481" i="1"/>
  <c r="V481" i="1"/>
  <c r="U481" i="1"/>
  <c r="F493" i="1"/>
  <c r="C390" i="1"/>
  <c r="AF520" i="1"/>
  <c r="AD520" i="1"/>
  <c r="AC520" i="1"/>
  <c r="AB520" i="1"/>
  <c r="AA520" i="1"/>
  <c r="O483" i="1"/>
  <c r="N483" i="1"/>
  <c r="P483" i="1"/>
  <c r="R483" i="1"/>
  <c r="M483" i="1"/>
  <c r="K484" i="1"/>
  <c r="H484" i="1"/>
  <c r="AF485" i="1"/>
  <c r="AD485" i="1"/>
  <c r="AC485" i="1"/>
  <c r="F510" i="1"/>
  <c r="C407" i="1"/>
  <c r="AB516" i="1"/>
  <c r="AA516" i="1"/>
  <c r="AF516" i="1"/>
  <c r="AD516" i="1"/>
  <c r="AC516" i="1"/>
  <c r="Y518" i="1"/>
  <c r="W518" i="1"/>
  <c r="V518" i="1"/>
  <c r="U518" i="1"/>
  <c r="T518" i="1"/>
  <c r="T481" i="1"/>
  <c r="AF499" i="1"/>
  <c r="AD499" i="1"/>
  <c r="AC499" i="1"/>
  <c r="AB499" i="1"/>
  <c r="AA499" i="1"/>
  <c r="AC306" i="1"/>
  <c r="AB306" i="1"/>
  <c r="AF306" i="1"/>
  <c r="AD306" i="1"/>
  <c r="AA306" i="1"/>
  <c r="P504" i="1"/>
  <c r="O504" i="1"/>
  <c r="N504" i="1"/>
  <c r="M504" i="1"/>
  <c r="R504" i="1"/>
  <c r="F506" i="1"/>
  <c r="C403" i="1"/>
  <c r="Y513" i="1"/>
  <c r="W513" i="1"/>
  <c r="T513" i="1"/>
  <c r="V513" i="1"/>
  <c r="U513" i="1"/>
  <c r="W481" i="1"/>
  <c r="AA485" i="1"/>
  <c r="R308" i="1"/>
  <c r="P308" i="1"/>
  <c r="O308" i="1"/>
  <c r="N308" i="1"/>
  <c r="M308" i="1"/>
  <c r="Y310" i="1"/>
  <c r="V310" i="1"/>
  <c r="U310" i="1"/>
  <c r="W310" i="1"/>
  <c r="T310" i="1"/>
  <c r="H308" i="1"/>
  <c r="P481" i="1"/>
  <c r="N481" i="1"/>
  <c r="M481" i="1"/>
  <c r="R481" i="1"/>
  <c r="O481" i="1"/>
  <c r="U494" i="1"/>
  <c r="T494" i="1"/>
  <c r="Y494" i="1"/>
  <c r="W494" i="1"/>
  <c r="V494" i="1"/>
  <c r="R500" i="1"/>
  <c r="P500" i="1"/>
  <c r="M500" i="1"/>
  <c r="N500" i="1"/>
  <c r="Y493" i="1"/>
  <c r="W493" i="1"/>
  <c r="V493" i="1"/>
  <c r="U493" i="1"/>
  <c r="T493" i="1"/>
  <c r="C385" i="1"/>
  <c r="AA488" i="1"/>
  <c r="AF488" i="1"/>
  <c r="AD488" i="1"/>
  <c r="AC488" i="1"/>
  <c r="AB488" i="1"/>
  <c r="Y490" i="1"/>
  <c r="W490" i="1"/>
  <c r="V490" i="1"/>
  <c r="U490" i="1"/>
  <c r="T490" i="1"/>
  <c r="K492" i="1"/>
  <c r="H492" i="1"/>
  <c r="W495" i="1"/>
  <c r="V495" i="1"/>
  <c r="U495" i="1"/>
  <c r="T495" i="1"/>
  <c r="R496" i="1"/>
  <c r="P496" i="1"/>
  <c r="O496" i="1"/>
  <c r="M496" i="1"/>
  <c r="N496" i="1"/>
  <c r="F498" i="1"/>
  <c r="C395" i="1"/>
  <c r="F502" i="1"/>
  <c r="C399" i="1"/>
  <c r="K489" i="1"/>
  <c r="H489" i="1"/>
  <c r="O492" i="1"/>
  <c r="N492" i="1"/>
  <c r="M492" i="1"/>
  <c r="R492" i="1"/>
  <c r="Y505" i="1"/>
  <c r="W505" i="1"/>
  <c r="V505" i="1"/>
  <c r="AB508" i="1"/>
  <c r="AA508" i="1"/>
  <c r="AF508" i="1"/>
  <c r="AD508" i="1"/>
  <c r="AC508" i="1"/>
  <c r="AD501" i="1"/>
  <c r="AC501" i="1"/>
  <c r="AB501" i="1"/>
  <c r="AA501" i="1"/>
  <c r="AF501" i="1"/>
  <c r="Y483" i="1"/>
  <c r="W483" i="1"/>
  <c r="V483" i="1"/>
  <c r="T483" i="1"/>
  <c r="O484" i="1"/>
  <c r="M484" i="1"/>
  <c r="R484" i="1"/>
  <c r="H485" i="1"/>
  <c r="K485" i="1"/>
  <c r="R488" i="1"/>
  <c r="P488" i="1"/>
  <c r="O488" i="1"/>
  <c r="N488" i="1"/>
  <c r="F490" i="1"/>
  <c r="C387" i="1"/>
  <c r="R493" i="1"/>
  <c r="P493" i="1"/>
  <c r="O493" i="1"/>
  <c r="N493" i="1"/>
  <c r="M493" i="1"/>
  <c r="AF495" i="1"/>
  <c r="AD495" i="1"/>
  <c r="AC495" i="1"/>
  <c r="AB495" i="1"/>
  <c r="AA495" i="1"/>
  <c r="C401" i="1"/>
  <c r="AF504" i="1"/>
  <c r="AD504" i="1"/>
  <c r="AC504" i="1"/>
  <c r="AB504" i="1"/>
  <c r="AA504" i="1"/>
  <c r="V506" i="1"/>
  <c r="U506" i="1"/>
  <c r="T506" i="1"/>
  <c r="Y506" i="1"/>
  <c r="W506" i="1"/>
  <c r="Y510" i="1"/>
  <c r="W510" i="1"/>
  <c r="V510" i="1"/>
  <c r="T510" i="1"/>
  <c r="U510" i="1"/>
  <c r="M511" i="1"/>
  <c r="R511" i="1"/>
  <c r="N511" i="1"/>
  <c r="D513" i="1"/>
  <c r="C513" i="1" s="1"/>
  <c r="C410" i="1"/>
  <c r="F517" i="1"/>
  <c r="C414" i="1"/>
  <c r="P520" i="1"/>
  <c r="O520" i="1"/>
  <c r="N520" i="1"/>
  <c r="M520" i="1"/>
  <c r="R520" i="1"/>
  <c r="K481" i="1"/>
  <c r="P484" i="1"/>
  <c r="M488" i="1"/>
  <c r="P492" i="1"/>
  <c r="F494" i="1"/>
  <c r="C379" i="1"/>
  <c r="F482" i="1"/>
  <c r="AB491" i="1"/>
  <c r="AA491" i="1"/>
  <c r="AF491" i="1"/>
  <c r="AD491" i="1"/>
  <c r="AC491" i="1"/>
  <c r="W497" i="1"/>
  <c r="V497" i="1"/>
  <c r="U497" i="1"/>
  <c r="T497" i="1"/>
  <c r="AB500" i="1"/>
  <c r="AA500" i="1"/>
  <c r="AF500" i="1"/>
  <c r="AD500" i="1"/>
  <c r="AC500" i="1"/>
  <c r="R516" i="1"/>
  <c r="P516" i="1"/>
  <c r="O516" i="1"/>
  <c r="N516" i="1"/>
  <c r="M516" i="1"/>
  <c r="AF483" i="1"/>
  <c r="AD483" i="1"/>
  <c r="AA483" i="1"/>
  <c r="R485" i="1"/>
  <c r="P485" i="1"/>
  <c r="O485" i="1"/>
  <c r="N485" i="1"/>
  <c r="F486" i="1"/>
  <c r="C383" i="1"/>
  <c r="AF487" i="1"/>
  <c r="AD487" i="1"/>
  <c r="AC487" i="1"/>
  <c r="AB487" i="1"/>
  <c r="AA487" i="1"/>
  <c r="P490" i="1"/>
  <c r="O490" i="1"/>
  <c r="N490" i="1"/>
  <c r="M490" i="1"/>
  <c r="R490" i="1"/>
  <c r="AA496" i="1"/>
  <c r="AF496" i="1"/>
  <c r="AD496" i="1"/>
  <c r="Y498" i="1"/>
  <c r="W498" i="1"/>
  <c r="V498" i="1"/>
  <c r="U498" i="1"/>
  <c r="Y502" i="1"/>
  <c r="W502" i="1"/>
  <c r="V502" i="1"/>
  <c r="U502" i="1"/>
  <c r="M503" i="1"/>
  <c r="R503" i="1"/>
  <c r="N503" i="1"/>
  <c r="D505" i="1"/>
  <c r="C505" i="1" s="1"/>
  <c r="C402" i="1"/>
  <c r="F509" i="1"/>
  <c r="C406" i="1"/>
  <c r="P512" i="1"/>
  <c r="O512" i="1"/>
  <c r="N512" i="1"/>
  <c r="M512" i="1"/>
  <c r="R512" i="1"/>
  <c r="F514" i="1"/>
  <c r="C411" i="1"/>
  <c r="F518" i="1"/>
  <c r="C415" i="1"/>
  <c r="AB482" i="1"/>
  <c r="AA482" i="1"/>
  <c r="AF482" i="1"/>
  <c r="AC482" i="1"/>
  <c r="AB496" i="1"/>
  <c r="P503" i="1"/>
  <c r="P482" i="1"/>
  <c r="M482" i="1"/>
  <c r="V489" i="1"/>
  <c r="U489" i="1"/>
  <c r="T489" i="1"/>
  <c r="W489" i="1"/>
  <c r="AD492" i="1"/>
  <c r="AC492" i="1"/>
  <c r="AB492" i="1"/>
  <c r="AA492" i="1"/>
  <c r="AF492" i="1"/>
  <c r="AF497" i="1"/>
  <c r="AD497" i="1"/>
  <c r="AC497" i="1"/>
  <c r="AB497" i="1"/>
  <c r="AA497" i="1"/>
  <c r="O499" i="1"/>
  <c r="N499" i="1"/>
  <c r="M499" i="1"/>
  <c r="R499" i="1"/>
  <c r="P499" i="1"/>
  <c r="R508" i="1"/>
  <c r="P508" i="1"/>
  <c r="N508" i="1"/>
  <c r="M508" i="1"/>
  <c r="AF515" i="1"/>
  <c r="AD515" i="1"/>
  <c r="AC515" i="1"/>
  <c r="AB515" i="1"/>
  <c r="AA515" i="1"/>
  <c r="AD482" i="1"/>
  <c r="U483" i="1"/>
  <c r="AC496" i="1"/>
  <c r="N489" i="1"/>
  <c r="M489" i="1"/>
  <c r="R489" i="1"/>
  <c r="T491" i="1"/>
  <c r="Y491" i="1"/>
  <c r="AF493" i="1"/>
  <c r="AD493" i="1"/>
  <c r="N497" i="1"/>
  <c r="M497" i="1"/>
  <c r="R497" i="1"/>
  <c r="W499" i="1"/>
  <c r="V499" i="1"/>
  <c r="U499" i="1"/>
  <c r="T499" i="1"/>
  <c r="K503" i="1"/>
  <c r="H503" i="1"/>
  <c r="R505" i="1"/>
  <c r="P505" i="1"/>
  <c r="O505" i="1"/>
  <c r="N505" i="1"/>
  <c r="M505" i="1"/>
  <c r="Y507" i="1"/>
  <c r="W507" i="1"/>
  <c r="V507" i="1"/>
  <c r="U507" i="1"/>
  <c r="T507" i="1"/>
  <c r="AD509" i="1"/>
  <c r="AC509" i="1"/>
  <c r="AB509" i="1"/>
  <c r="AA509" i="1"/>
  <c r="K511" i="1"/>
  <c r="H511" i="1"/>
  <c r="R513" i="1"/>
  <c r="P513" i="1"/>
  <c r="O513" i="1"/>
  <c r="N513" i="1"/>
  <c r="M513" i="1"/>
  <c r="Y515" i="1"/>
  <c r="W515" i="1"/>
  <c r="V515" i="1"/>
  <c r="U515" i="1"/>
  <c r="T515" i="1"/>
  <c r="AD517" i="1"/>
  <c r="AC517" i="1"/>
  <c r="AB517" i="1"/>
  <c r="AA517" i="1"/>
  <c r="AF517" i="1"/>
  <c r="K519" i="1"/>
  <c r="H519" i="1"/>
  <c r="O489" i="1"/>
  <c r="U491" i="1"/>
  <c r="AA493" i="1"/>
  <c r="P494" i="1"/>
  <c r="V496" i="1"/>
  <c r="P497" i="1"/>
  <c r="W484" i="1"/>
  <c r="V484" i="1"/>
  <c r="U484" i="1"/>
  <c r="T484" i="1"/>
  <c r="AC486" i="1"/>
  <c r="AB486" i="1"/>
  <c r="AA486" i="1"/>
  <c r="K488" i="1"/>
  <c r="H488" i="1"/>
  <c r="W492" i="1"/>
  <c r="V492" i="1"/>
  <c r="U492" i="1"/>
  <c r="T492" i="1"/>
  <c r="AC494" i="1"/>
  <c r="AB494" i="1"/>
  <c r="AA494" i="1"/>
  <c r="K496" i="1"/>
  <c r="H496" i="1"/>
  <c r="R498" i="1"/>
  <c r="O498" i="1"/>
  <c r="N498" i="1"/>
  <c r="M498" i="1"/>
  <c r="T500" i="1"/>
  <c r="Y500" i="1"/>
  <c r="W500" i="1"/>
  <c r="V500" i="1"/>
  <c r="AF502" i="1"/>
  <c r="AD502" i="1"/>
  <c r="AC502" i="1"/>
  <c r="AB502" i="1"/>
  <c r="N506" i="1"/>
  <c r="M506" i="1"/>
  <c r="R506" i="1"/>
  <c r="T508" i="1"/>
  <c r="Y508" i="1"/>
  <c r="W508" i="1"/>
  <c r="AF510" i="1"/>
  <c r="AD510" i="1"/>
  <c r="AC510" i="1"/>
  <c r="N514" i="1"/>
  <c r="M514" i="1"/>
  <c r="R514" i="1"/>
  <c r="T516" i="1"/>
  <c r="Y516" i="1"/>
  <c r="AF518" i="1"/>
  <c r="AD518" i="1"/>
  <c r="AB498" i="1"/>
  <c r="AF509" i="1"/>
  <c r="C378" i="1"/>
  <c r="AD489" i="1"/>
  <c r="AC489" i="1"/>
  <c r="AB489" i="1"/>
  <c r="AA489" i="1"/>
  <c r="K491" i="1"/>
  <c r="H491" i="1"/>
  <c r="O501" i="1"/>
  <c r="N501" i="1"/>
  <c r="M501" i="1"/>
  <c r="R501" i="1"/>
  <c r="P501" i="1"/>
  <c r="U503" i="1"/>
  <c r="T503" i="1"/>
  <c r="Y503" i="1"/>
  <c r="W503" i="1"/>
  <c r="V503" i="1"/>
  <c r="AA505" i="1"/>
  <c r="AF505" i="1"/>
  <c r="AD505" i="1"/>
  <c r="AC505" i="1"/>
  <c r="AB505" i="1"/>
  <c r="H507" i="1"/>
  <c r="K507" i="1"/>
  <c r="O509" i="1"/>
  <c r="N509" i="1"/>
  <c r="M509" i="1"/>
  <c r="R509" i="1"/>
  <c r="U511" i="1"/>
  <c r="T511" i="1"/>
  <c r="Y511" i="1"/>
  <c r="W511" i="1"/>
  <c r="AA513" i="1"/>
  <c r="AF513" i="1"/>
  <c r="AD513" i="1"/>
  <c r="AC513" i="1"/>
  <c r="O517" i="1"/>
  <c r="N517" i="1"/>
  <c r="M517" i="1"/>
  <c r="R517" i="1"/>
  <c r="U519" i="1"/>
  <c r="T519" i="1"/>
  <c r="Y519" i="1"/>
  <c r="AD494" i="1"/>
  <c r="H504" i="1"/>
  <c r="H512" i="1"/>
  <c r="AB513" i="1"/>
  <c r="W519" i="1"/>
  <c r="C384" i="1"/>
  <c r="R491" i="1"/>
  <c r="P491" i="1"/>
  <c r="C392" i="1"/>
  <c r="W501" i="1"/>
  <c r="V501" i="1"/>
  <c r="U501" i="1"/>
  <c r="T501" i="1"/>
  <c r="Y501" i="1"/>
  <c r="C400" i="1"/>
  <c r="AC503" i="1"/>
  <c r="AB503" i="1"/>
  <c r="AA503" i="1"/>
  <c r="AD503" i="1"/>
  <c r="K505" i="1"/>
  <c r="H505" i="1"/>
  <c r="P507" i="1"/>
  <c r="O507" i="1"/>
  <c r="N507" i="1"/>
  <c r="M507" i="1"/>
  <c r="R507" i="1"/>
  <c r="W509" i="1"/>
  <c r="V509" i="1"/>
  <c r="U509" i="1"/>
  <c r="T509" i="1"/>
  <c r="Y509" i="1"/>
  <c r="C408" i="1"/>
  <c r="AC511" i="1"/>
  <c r="AB511" i="1"/>
  <c r="AA511" i="1"/>
  <c r="AF511" i="1"/>
  <c r="AD511" i="1"/>
  <c r="K513" i="1"/>
  <c r="H513" i="1"/>
  <c r="P515" i="1"/>
  <c r="O515" i="1"/>
  <c r="N515" i="1"/>
  <c r="M515" i="1"/>
  <c r="R515" i="1"/>
  <c r="W517" i="1"/>
  <c r="V517" i="1"/>
  <c r="U517" i="1"/>
  <c r="T517" i="1"/>
  <c r="Y517" i="1"/>
  <c r="C416" i="1"/>
  <c r="AC519" i="1"/>
  <c r="AB519" i="1"/>
  <c r="AA519" i="1"/>
  <c r="AF519" i="1"/>
  <c r="AD519" i="1"/>
  <c r="Y484" i="1"/>
  <c r="N491" i="1"/>
  <c r="AF494" i="1"/>
  <c r="U500" i="1"/>
  <c r="P506" i="1"/>
  <c r="U508" i="1"/>
  <c r="P514" i="1"/>
  <c r="U516" i="1"/>
  <c r="K520" i="1"/>
  <c r="M486" i="1"/>
  <c r="R486" i="1"/>
  <c r="Y488" i="1"/>
  <c r="W488" i="1"/>
  <c r="M494" i="1"/>
  <c r="R494" i="1"/>
  <c r="Y496" i="1"/>
  <c r="W496" i="1"/>
  <c r="AA498" i="1"/>
  <c r="AF498" i="1"/>
  <c r="K500" i="1"/>
  <c r="H500" i="1"/>
  <c r="R502" i="1"/>
  <c r="P502" i="1"/>
  <c r="O502" i="1"/>
  <c r="N502" i="1"/>
  <c r="M502" i="1"/>
  <c r="W504" i="1"/>
  <c r="V504" i="1"/>
  <c r="U504" i="1"/>
  <c r="T504" i="1"/>
  <c r="Y504" i="1"/>
  <c r="AD506" i="1"/>
  <c r="AC506" i="1"/>
  <c r="AB506" i="1"/>
  <c r="AA506" i="1"/>
  <c r="K508" i="1"/>
  <c r="H508" i="1"/>
  <c r="R510" i="1"/>
  <c r="P510" i="1"/>
  <c r="O510" i="1"/>
  <c r="N510" i="1"/>
  <c r="M510" i="1"/>
  <c r="W512" i="1"/>
  <c r="V512" i="1"/>
  <c r="U512" i="1"/>
  <c r="T512" i="1"/>
  <c r="Y512" i="1"/>
  <c r="AD514" i="1"/>
  <c r="AC514" i="1"/>
  <c r="AB514" i="1"/>
  <c r="AA514" i="1"/>
  <c r="AF514" i="1"/>
  <c r="K516" i="1"/>
  <c r="H516" i="1"/>
  <c r="R518" i="1"/>
  <c r="P518" i="1"/>
  <c r="O518" i="1"/>
  <c r="N518" i="1"/>
  <c r="M518" i="1"/>
  <c r="W520" i="1"/>
  <c r="V520" i="1"/>
  <c r="U520" i="1"/>
  <c r="T520" i="1"/>
  <c r="Y520" i="1"/>
  <c r="N486" i="1"/>
  <c r="AF486" i="1"/>
  <c r="T488" i="1"/>
  <c r="AF489" i="1"/>
  <c r="O491" i="1"/>
  <c r="O494" i="1"/>
  <c r="U496" i="1"/>
  <c r="O497" i="1"/>
  <c r="K499" i="1"/>
  <c r="AA502" i="1"/>
  <c r="AF506" i="1"/>
  <c r="V508" i="1"/>
  <c r="AA510" i="1"/>
  <c r="V516" i="1"/>
  <c r="AA518" i="1"/>
  <c r="C272" i="1" l="1"/>
  <c r="H552" i="1"/>
  <c r="H542" i="1"/>
  <c r="K542" i="1"/>
  <c r="H567" i="1"/>
  <c r="K567" i="1"/>
  <c r="H550" i="1"/>
  <c r="K550" i="1"/>
  <c r="H575" i="1"/>
  <c r="K575" i="1"/>
  <c r="K558" i="1"/>
  <c r="H558" i="1"/>
  <c r="H365" i="1"/>
  <c r="K365" i="1"/>
  <c r="K324" i="1"/>
  <c r="H324" i="1"/>
  <c r="H347" i="1"/>
  <c r="K347" i="1"/>
  <c r="K309" i="1"/>
  <c r="B484" i="1"/>
  <c r="A484" i="1" s="1"/>
  <c r="K506" i="1"/>
  <c r="H506" i="1"/>
  <c r="K290" i="1"/>
  <c r="H290" i="1"/>
  <c r="K486" i="1"/>
  <c r="H486" i="1"/>
  <c r="K517" i="1"/>
  <c r="H517" i="1"/>
  <c r="H490" i="1"/>
  <c r="K490" i="1"/>
  <c r="A275" i="1"/>
  <c r="B276" i="1"/>
  <c r="H518" i="1"/>
  <c r="K518" i="1"/>
  <c r="K482" i="1"/>
  <c r="H482" i="1"/>
  <c r="H502" i="1"/>
  <c r="K502" i="1"/>
  <c r="H510" i="1"/>
  <c r="K510" i="1"/>
  <c r="K501" i="1"/>
  <c r="H501" i="1"/>
  <c r="K509" i="1"/>
  <c r="H509" i="1"/>
  <c r="H493" i="1"/>
  <c r="K493" i="1"/>
  <c r="H286" i="1"/>
  <c r="K286" i="1"/>
  <c r="K514" i="1"/>
  <c r="H514" i="1"/>
  <c r="K494" i="1"/>
  <c r="H494" i="1"/>
  <c r="K498" i="1"/>
  <c r="H498" i="1"/>
  <c r="B485" i="1" l="1"/>
  <c r="B486" i="1" s="1"/>
  <c r="A276" i="1"/>
  <c r="B277" i="1"/>
  <c r="A485" i="1" l="1"/>
  <c r="A486" i="1"/>
  <c r="B487" i="1"/>
  <c r="A277" i="1"/>
  <c r="B278" i="1"/>
  <c r="B279" i="1" l="1"/>
  <c r="A278" i="1"/>
  <c r="A487" i="1"/>
  <c r="B488" i="1"/>
  <c r="B489" i="1" l="1"/>
  <c r="A488" i="1"/>
  <c r="A279" i="1"/>
  <c r="B280" i="1"/>
  <c r="A280" i="1" l="1"/>
  <c r="B281" i="1"/>
  <c r="A489" i="1"/>
  <c r="B490" i="1"/>
  <c r="A490" i="1" l="1"/>
  <c r="B491" i="1"/>
  <c r="B282" i="1"/>
  <c r="A281" i="1"/>
  <c r="B283" i="1" l="1"/>
  <c r="A282" i="1"/>
  <c r="A491" i="1"/>
  <c r="B492" i="1"/>
  <c r="A492" i="1" l="1"/>
  <c r="B493" i="1"/>
  <c r="B284" i="1"/>
  <c r="A283" i="1"/>
  <c r="A284" i="1" l="1"/>
  <c r="B285" i="1"/>
  <c r="B494" i="1"/>
  <c r="A493" i="1"/>
  <c r="A494" i="1" l="1"/>
  <c r="B495" i="1"/>
  <c r="A285" i="1"/>
  <c r="B286" i="1"/>
  <c r="B287" i="1" l="1"/>
  <c r="A286" i="1"/>
  <c r="A495" i="1"/>
  <c r="B496" i="1"/>
  <c r="B497" i="1" l="1"/>
  <c r="A496" i="1"/>
  <c r="B288" i="1"/>
  <c r="A287" i="1"/>
  <c r="A288" i="1" l="1"/>
  <c r="B289" i="1"/>
  <c r="B498" i="1"/>
  <c r="A497" i="1"/>
  <c r="B499" i="1" l="1"/>
  <c r="A498" i="1"/>
  <c r="A289" i="1"/>
  <c r="B290" i="1"/>
  <c r="A290" i="1" l="1"/>
  <c r="B291" i="1"/>
  <c r="A499" i="1"/>
  <c r="B500" i="1"/>
  <c r="A500" i="1" l="1"/>
  <c r="B501" i="1"/>
  <c r="A291" i="1"/>
  <c r="B292" i="1"/>
  <c r="A292" i="1" l="1"/>
  <c r="B293" i="1"/>
  <c r="A501" i="1"/>
  <c r="B502" i="1"/>
  <c r="B503" i="1" l="1"/>
  <c r="A502" i="1"/>
  <c r="B294" i="1"/>
  <c r="A293" i="1"/>
  <c r="A294" i="1" l="1"/>
  <c r="B295" i="1"/>
  <c r="A503" i="1"/>
  <c r="B504" i="1"/>
  <c r="A504" i="1" l="1"/>
  <c r="B505" i="1"/>
  <c r="A295" i="1"/>
  <c r="B296" i="1"/>
  <c r="B297" i="1" l="1"/>
  <c r="A296" i="1"/>
  <c r="B506" i="1"/>
  <c r="A505" i="1"/>
  <c r="A506" i="1" l="1"/>
  <c r="B507" i="1"/>
  <c r="A297" i="1"/>
  <c r="B298" i="1"/>
  <c r="A298" i="1" l="1"/>
  <c r="B299" i="1"/>
  <c r="B508" i="1"/>
  <c r="A507" i="1"/>
  <c r="A508" i="1" l="1"/>
  <c r="B509" i="1"/>
  <c r="A299" i="1"/>
  <c r="B300" i="1"/>
  <c r="A300" i="1" l="1"/>
  <c r="B301" i="1"/>
  <c r="A509" i="1"/>
  <c r="B510" i="1"/>
  <c r="B511" i="1" l="1"/>
  <c r="A510" i="1"/>
  <c r="B302" i="1"/>
  <c r="A301" i="1"/>
  <c r="A302" i="1" l="1"/>
  <c r="B303" i="1"/>
  <c r="A511" i="1"/>
  <c r="B512" i="1"/>
  <c r="A512" i="1" l="1"/>
  <c r="B513" i="1"/>
  <c r="A303" i="1"/>
  <c r="B304" i="1"/>
  <c r="B305" i="1" l="1"/>
  <c r="A304" i="1"/>
  <c r="B514" i="1"/>
  <c r="A513" i="1"/>
  <c r="A514" i="1" l="1"/>
  <c r="B515" i="1"/>
  <c r="B306" i="1"/>
  <c r="A305" i="1"/>
  <c r="A306" i="1" l="1"/>
  <c r="B307" i="1"/>
  <c r="A515" i="1"/>
  <c r="B516" i="1"/>
  <c r="A516" i="1" l="1"/>
  <c r="B517" i="1"/>
  <c r="A307" i="1"/>
  <c r="B308" i="1"/>
  <c r="B309" i="1" l="1"/>
  <c r="A308" i="1"/>
  <c r="A517" i="1"/>
  <c r="B518" i="1"/>
  <c r="B519" i="1" l="1"/>
  <c r="A518" i="1"/>
  <c r="B310" i="1"/>
  <c r="A309" i="1"/>
  <c r="A310" i="1" l="1"/>
  <c r="B311" i="1"/>
  <c r="A519" i="1"/>
  <c r="B520" i="1"/>
  <c r="A520" i="1" l="1"/>
  <c r="B521" i="1"/>
  <c r="A311" i="1"/>
  <c r="B312" i="1"/>
  <c r="B522" i="1" l="1"/>
  <c r="A521" i="1"/>
  <c r="B313" i="1"/>
  <c r="A312" i="1"/>
  <c r="B523" i="1" l="1"/>
  <c r="A522" i="1"/>
  <c r="B314" i="1"/>
  <c r="A313" i="1"/>
  <c r="B524" i="1" l="1"/>
  <c r="A523" i="1"/>
  <c r="B315" i="1"/>
  <c r="A314" i="1"/>
  <c r="B525" i="1" l="1"/>
  <c r="A524" i="1"/>
  <c r="B316" i="1"/>
  <c r="A315" i="1"/>
  <c r="B526" i="1" l="1"/>
  <c r="A525" i="1"/>
  <c r="B317" i="1"/>
  <c r="A316" i="1"/>
  <c r="B527" i="1" l="1"/>
  <c r="A526" i="1"/>
  <c r="B318" i="1"/>
  <c r="A317" i="1"/>
  <c r="B528" i="1" l="1"/>
  <c r="A527" i="1"/>
  <c r="B319" i="1"/>
  <c r="A318" i="1"/>
  <c r="B529" i="1" l="1"/>
  <c r="A528" i="1"/>
  <c r="B320" i="1"/>
  <c r="A319" i="1"/>
  <c r="B530" i="1" l="1"/>
  <c r="A529" i="1"/>
  <c r="B321" i="1"/>
  <c r="A320" i="1"/>
  <c r="B531" i="1" l="1"/>
  <c r="A530" i="1"/>
  <c r="B322" i="1"/>
  <c r="A321" i="1"/>
  <c r="B532" i="1" l="1"/>
  <c r="A531" i="1"/>
  <c r="B323" i="1"/>
  <c r="A322" i="1"/>
  <c r="B533" i="1" l="1"/>
  <c r="A532" i="1"/>
  <c r="B324" i="1"/>
  <c r="A323" i="1"/>
  <c r="B534" i="1" l="1"/>
  <c r="A533" i="1"/>
  <c r="B325" i="1"/>
  <c r="A324" i="1"/>
  <c r="B535" i="1" l="1"/>
  <c r="A534" i="1"/>
  <c r="B326" i="1"/>
  <c r="A325" i="1"/>
  <c r="B536" i="1" l="1"/>
  <c r="A535" i="1"/>
  <c r="B327" i="1"/>
  <c r="A326" i="1"/>
  <c r="B537" i="1" l="1"/>
  <c r="A536" i="1"/>
  <c r="B328" i="1"/>
  <c r="A327" i="1"/>
  <c r="B538" i="1" l="1"/>
  <c r="A537" i="1"/>
  <c r="B329" i="1"/>
  <c r="A328" i="1"/>
  <c r="B539" i="1" l="1"/>
  <c r="A538" i="1"/>
  <c r="B330" i="1"/>
  <c r="A329" i="1"/>
  <c r="B540" i="1" l="1"/>
  <c r="A539" i="1"/>
  <c r="B331" i="1"/>
  <c r="A330" i="1"/>
  <c r="B541" i="1" l="1"/>
  <c r="A540" i="1"/>
  <c r="B332" i="1"/>
  <c r="A331" i="1"/>
  <c r="B542" i="1" l="1"/>
  <c r="A541" i="1"/>
  <c r="B333" i="1"/>
  <c r="A332" i="1"/>
  <c r="B543" i="1" l="1"/>
  <c r="A542" i="1"/>
  <c r="B334" i="1"/>
  <c r="A333" i="1"/>
  <c r="B544" i="1" l="1"/>
  <c r="A543" i="1"/>
  <c r="B335" i="1"/>
  <c r="A334" i="1"/>
  <c r="B545" i="1" l="1"/>
  <c r="A544" i="1"/>
  <c r="B336" i="1"/>
  <c r="A335" i="1"/>
  <c r="B546" i="1" l="1"/>
  <c r="A545" i="1"/>
  <c r="B337" i="1"/>
  <c r="A336" i="1"/>
  <c r="B547" i="1" l="1"/>
  <c r="A546" i="1"/>
  <c r="B338" i="1"/>
  <c r="A337" i="1"/>
  <c r="B548" i="1" l="1"/>
  <c r="A547" i="1"/>
  <c r="B339" i="1"/>
  <c r="A338" i="1"/>
  <c r="B549" i="1" l="1"/>
  <c r="A548" i="1"/>
  <c r="B340" i="1"/>
  <c r="A339" i="1"/>
  <c r="B550" i="1" l="1"/>
  <c r="A549" i="1"/>
  <c r="B341" i="1"/>
  <c r="A340" i="1"/>
  <c r="B551" i="1" l="1"/>
  <c r="A550" i="1"/>
  <c r="B342" i="1"/>
  <c r="A341" i="1"/>
  <c r="B552" i="1" l="1"/>
  <c r="A551" i="1"/>
  <c r="B343" i="1"/>
  <c r="A342" i="1"/>
  <c r="B553" i="1" l="1"/>
  <c r="A552" i="1"/>
  <c r="B344" i="1"/>
  <c r="A343" i="1"/>
  <c r="B554" i="1" l="1"/>
  <c r="A553" i="1"/>
  <c r="B345" i="1"/>
  <c r="A344" i="1"/>
  <c r="B555" i="1" l="1"/>
  <c r="A554" i="1"/>
  <c r="B346" i="1"/>
  <c r="A345" i="1"/>
  <c r="B556" i="1" l="1"/>
  <c r="A555" i="1"/>
  <c r="B347" i="1"/>
  <c r="A346" i="1"/>
  <c r="B557" i="1" l="1"/>
  <c r="A556" i="1"/>
  <c r="B348" i="1"/>
  <c r="A347" i="1"/>
  <c r="B558" i="1" l="1"/>
  <c r="A557" i="1"/>
  <c r="B349" i="1"/>
  <c r="A348" i="1"/>
  <c r="B559" i="1" l="1"/>
  <c r="A558" i="1"/>
  <c r="B350" i="1"/>
  <c r="A349" i="1"/>
  <c r="B560" i="1" l="1"/>
  <c r="A559" i="1"/>
  <c r="B351" i="1"/>
  <c r="A350" i="1"/>
  <c r="B561" i="1" l="1"/>
  <c r="A560" i="1"/>
  <c r="B352" i="1"/>
  <c r="A351" i="1"/>
  <c r="B562" i="1" l="1"/>
  <c r="A561" i="1"/>
  <c r="B353" i="1"/>
  <c r="A352" i="1"/>
  <c r="B563" i="1" l="1"/>
  <c r="A562" i="1"/>
  <c r="B354" i="1"/>
  <c r="A353" i="1"/>
  <c r="B564" i="1" l="1"/>
  <c r="A563" i="1"/>
  <c r="B355" i="1"/>
  <c r="A354" i="1"/>
  <c r="B565" i="1" l="1"/>
  <c r="A564" i="1"/>
  <c r="B356" i="1"/>
  <c r="A355" i="1"/>
  <c r="B566" i="1" l="1"/>
  <c r="A565" i="1"/>
  <c r="B357" i="1"/>
  <c r="A356" i="1"/>
  <c r="B567" i="1" l="1"/>
  <c r="A566" i="1"/>
  <c r="B358" i="1"/>
  <c r="A357" i="1"/>
  <c r="B568" i="1" l="1"/>
  <c r="A567" i="1"/>
  <c r="B359" i="1"/>
  <c r="A358" i="1"/>
  <c r="B569" i="1" l="1"/>
  <c r="A568" i="1"/>
  <c r="B360" i="1"/>
  <c r="A359" i="1"/>
  <c r="B570" i="1" l="1"/>
  <c r="A569" i="1"/>
  <c r="B361" i="1"/>
  <c r="A360" i="1"/>
  <c r="B571" i="1" l="1"/>
  <c r="A570" i="1"/>
  <c r="B362" i="1"/>
  <c r="A361" i="1"/>
  <c r="B572" i="1" l="1"/>
  <c r="A571" i="1"/>
  <c r="B363" i="1"/>
  <c r="A362" i="1"/>
  <c r="B573" i="1" l="1"/>
  <c r="A572" i="1"/>
  <c r="B364" i="1"/>
  <c r="A363" i="1"/>
  <c r="B574" i="1" l="1"/>
  <c r="A573" i="1"/>
  <c r="B365" i="1"/>
  <c r="A364" i="1"/>
  <c r="B575" i="1" l="1"/>
  <c r="A574" i="1"/>
  <c r="B366" i="1"/>
  <c r="A365" i="1"/>
  <c r="B576" i="1" l="1"/>
  <c r="A575" i="1"/>
  <c r="B367" i="1"/>
  <c r="A366" i="1"/>
  <c r="B577" i="1" l="1"/>
  <c r="A576" i="1"/>
  <c r="B368" i="1"/>
  <c r="A367" i="1"/>
  <c r="B578" i="1" l="1"/>
  <c r="A577" i="1"/>
  <c r="B369" i="1"/>
  <c r="A368" i="1"/>
  <c r="B579" i="1" l="1"/>
  <c r="A578" i="1"/>
  <c r="B370" i="1"/>
  <c r="A369" i="1"/>
  <c r="A579" i="1" l="1"/>
  <c r="B580" i="1"/>
  <c r="B371" i="1"/>
  <c r="A370" i="1"/>
  <c r="B581" i="1" l="1"/>
  <c r="A581" i="1" s="1"/>
  <c r="A580" i="1"/>
  <c r="B372" i="1"/>
  <c r="A372" i="1" s="1"/>
  <c r="A37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<sst xmlns="http://schemas.openxmlformats.org/spreadsheetml/2006/main" count="753" uniqueCount="92">
  <si>
    <t>ACORDE</t>
  </si>
  <si>
    <t>/*</t>
  </si>
  <si>
    <t>#</t>
  </si>
  <si>
    <t>CANTOR</t>
  </si>
  <si>
    <t>Acorde</t>
  </si>
  <si>
    <t>Estado</t>
  </si>
  <si>
    <t>Acorde2</t>
  </si>
  <si>
    <t>Estado3</t>
  </si>
  <si>
    <t>Acorde4</t>
  </si>
  <si>
    <t>Estado5</t>
  </si>
  <si>
    <t>Acorde6</t>
  </si>
  <si>
    <t>Estado7</t>
  </si>
  <si>
    <t>ASAMBLEA</t>
  </si>
  <si>
    <t>╔════════════════════════════════════════════════════════════════╗</t>
  </si>
  <si>
    <t>║                         FUENTE DEL CANTO                       ║</t>
  </si>
  <si>
    <t>╠════════════════════════════════════════════════════════════════╣</t>
  </si>
  <si>
    <t>║                Mapeo para celulares menor a 700px              ║</t>
  </si>
  <si>
    <t>╚════════════════════════════════════════════════════════════════╝  */</t>
  </si>
  <si>
    <t>║                Mapeo para celulares menor a 900px              ║</t>
  </si>
  <si>
    <t>║            Función de Posición con factor ajustable            ║</t>
  </si>
  <si>
    <r>
      <rPr>
        <sz val="18"/>
        <color theme="5"/>
        <rFont val="Consolas"/>
        <family val="3"/>
      </rPr>
      <t xml:space="preserve">function </t>
    </r>
    <r>
      <rPr>
        <sz val="18"/>
        <rFont val="Consolas"/>
        <family val="3"/>
      </rPr>
      <t>ac</t>
    </r>
    <r>
      <rPr>
        <sz val="18"/>
        <color theme="7"/>
        <rFont val="Consolas"/>
        <family val="3"/>
      </rPr>
      <t>(nota</t>
    </r>
    <r>
      <rPr>
        <sz val="18"/>
        <color theme="5"/>
        <rFont val="Consolas"/>
        <family val="3"/>
      </rPr>
      <t>,</t>
    </r>
    <r>
      <rPr>
        <sz val="18"/>
        <color theme="7"/>
        <rFont val="Consolas"/>
        <family val="3"/>
      </rPr>
      <t xml:space="preserve"> posicion</t>
    </r>
    <r>
      <rPr>
        <sz val="18"/>
        <color theme="5"/>
        <rFont val="Consolas"/>
        <family val="3"/>
      </rPr>
      <t>,</t>
    </r>
    <r>
      <rPr>
        <sz val="18"/>
        <color theme="7"/>
        <rFont val="Consolas"/>
        <family val="3"/>
      </rPr>
      <t xml:space="preserve"> extension </t>
    </r>
    <r>
      <rPr>
        <sz val="18"/>
        <color theme="5"/>
        <rFont val="Consolas"/>
        <family val="3"/>
      </rPr>
      <t>=</t>
    </r>
    <r>
      <rPr>
        <sz val="18"/>
        <color theme="7"/>
        <rFont val="Consolas"/>
        <family val="3"/>
      </rPr>
      <t xml:space="preserve"> "") {</t>
    </r>
  </si>
  <si>
    <t xml:space="preserve">  const anchoPantalla = window.innerWidth;</t>
  </si>
  <si>
    <t xml:space="preserve">  let posicionAjustada = posicion;</t>
  </si>
  <si>
    <t>║           1. Primero verificar celulares (estricto)            ║</t>
  </si>
  <si>
    <r>
      <rPr>
        <sz val="18"/>
        <color theme="5"/>
        <rFont val="Consolas"/>
        <family val="3"/>
      </rPr>
      <t xml:space="preserve">if </t>
    </r>
    <r>
      <rPr>
        <sz val="18"/>
        <color rgb="FF00B0F0"/>
        <rFont val="Consolas"/>
        <family val="3"/>
      </rPr>
      <t xml:space="preserve">(anchoPantalla </t>
    </r>
    <r>
      <rPr>
        <sz val="18"/>
        <color theme="5"/>
        <rFont val="Consolas"/>
        <family val="3"/>
      </rPr>
      <t>&lt;=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700) {</t>
    </r>
  </si>
  <si>
    <r>
      <t>posicionAjustada</t>
    </r>
    <r>
      <rPr>
        <sz val="18"/>
        <color rgb="FFD4D4D4"/>
        <rFont val="Consolas"/>
        <family val="3"/>
      </rPr>
      <t xml:space="preserve"> </t>
    </r>
    <r>
      <rPr>
        <sz val="18"/>
        <color theme="5"/>
        <rFont val="Consolas"/>
        <family val="3"/>
      </rPr>
      <t xml:space="preserve">= </t>
    </r>
    <r>
      <rPr>
        <sz val="18"/>
        <color theme="7" tint="0.39997558519241921"/>
        <rFont val="Consolas"/>
        <family val="3"/>
      </rPr>
      <t>pcelular</t>
    </r>
    <r>
      <rPr>
        <sz val="18"/>
        <color theme="5"/>
        <rFont val="Consolas"/>
        <family val="3"/>
      </rPr>
      <t>[</t>
    </r>
    <r>
      <rPr>
        <sz val="18"/>
        <color theme="7" tint="0.39997558519241921"/>
        <rFont val="Consolas"/>
        <family val="3"/>
      </rPr>
      <t>posicion</t>
    </r>
    <r>
      <rPr>
        <sz val="18"/>
        <color theme="5"/>
        <rFont val="Consolas"/>
        <family val="3"/>
      </rPr>
      <t>]</t>
    </r>
    <r>
      <rPr>
        <sz val="18"/>
        <color rgb="FFD4D4D4"/>
        <rFont val="Consolas"/>
        <family val="3"/>
      </rPr>
      <t xml:space="preserve"> </t>
    </r>
    <r>
      <rPr>
        <sz val="18"/>
        <color theme="5"/>
        <rFont val="Consolas"/>
        <family val="3"/>
      </rPr>
      <t>||</t>
    </r>
    <r>
      <rPr>
        <sz val="18"/>
        <color rgb="FFD4D4D4"/>
        <rFont val="Consolas"/>
        <family val="3"/>
      </rPr>
      <t xml:space="preserve"> </t>
    </r>
    <r>
      <rPr>
        <sz val="18"/>
        <color theme="7" tint="0.39997558519241921"/>
        <rFont val="Consolas"/>
        <family val="3"/>
      </rPr>
      <t>posicion</t>
    </r>
    <r>
      <rPr>
        <sz val="18"/>
        <color theme="5"/>
        <rFont val="Consolas"/>
        <family val="3"/>
      </rPr>
      <t>;</t>
    </r>
  </si>
  <si>
    <r>
      <rPr>
        <sz val="18"/>
        <color theme="5"/>
        <rFont val="Consolas"/>
        <family val="3"/>
      </rPr>
      <t>if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(!pcelular[posicion]) {</t>
    </r>
  </si>
  <si>
    <r>
      <rPr>
        <sz val="18"/>
        <color theme="5"/>
        <rFont val="Consolas"/>
        <family val="3"/>
      </rPr>
      <t xml:space="preserve">const </t>
    </r>
    <r>
      <rPr>
        <sz val="18"/>
        <color rgb="FF569CD6"/>
        <rFont val="Consolas"/>
        <family val="3"/>
      </rPr>
      <t>numero</t>
    </r>
    <r>
      <rPr>
        <sz val="18"/>
        <color rgb="FFD4D4D4"/>
        <rFont val="Consolas"/>
        <family val="3"/>
      </rPr>
      <t xml:space="preserve"> </t>
    </r>
    <r>
      <rPr>
        <sz val="18"/>
        <color theme="5"/>
        <rFont val="Consolas"/>
        <family val="3"/>
      </rPr>
      <t>=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parseInt</t>
    </r>
    <r>
      <rPr>
        <sz val="18"/>
        <color rgb="FFD4D4D4"/>
        <rFont val="Consolas"/>
        <family val="3"/>
      </rPr>
      <t>(</t>
    </r>
    <r>
      <rPr>
        <sz val="18"/>
        <color rgb="FF00B0F0"/>
        <rFont val="Consolas"/>
        <family val="3"/>
      </rPr>
      <t>posicion.replace</t>
    </r>
    <r>
      <rPr>
        <sz val="18"/>
        <color rgb="FFD4D4D4"/>
        <rFont val="Consolas"/>
        <family val="3"/>
      </rPr>
      <t>(</t>
    </r>
    <r>
      <rPr>
        <sz val="18"/>
        <color rgb="FFCE9178"/>
        <rFont val="Consolas"/>
        <family val="3"/>
      </rPr>
      <t>'cp'</t>
    </r>
    <r>
      <rPr>
        <sz val="18"/>
        <color rgb="FFD4D4D4"/>
        <rFont val="Consolas"/>
        <family val="3"/>
      </rPr>
      <t xml:space="preserve">, </t>
    </r>
    <r>
      <rPr>
        <sz val="18"/>
        <color rgb="FFCE9178"/>
        <rFont val="Consolas"/>
        <family val="3"/>
      </rPr>
      <t>''</t>
    </r>
    <r>
      <rPr>
        <sz val="18"/>
        <color rgb="FFD4D4D4"/>
        <rFont val="Consolas"/>
        <family val="3"/>
      </rPr>
      <t xml:space="preserve">)) </t>
    </r>
    <r>
      <rPr>
        <sz val="18"/>
        <color rgb="FF00B0F0"/>
        <rFont val="Consolas"/>
        <family val="3"/>
      </rPr>
      <t>||</t>
    </r>
    <r>
      <rPr>
        <sz val="18"/>
        <color rgb="FFD4D4D4"/>
        <rFont val="Consolas"/>
        <family val="3"/>
      </rPr>
      <t xml:space="preserve"> 0</t>
    </r>
    <r>
      <rPr>
        <sz val="18"/>
        <color rgb="FF6A9955"/>
        <rFont val="Consolas"/>
        <family val="3"/>
      </rPr>
      <t>;</t>
    </r>
  </si>
  <si>
    <r>
      <rPr>
        <sz val="18"/>
        <color theme="5"/>
        <rFont val="Consolas"/>
        <family val="3"/>
      </rPr>
      <t xml:space="preserve">const </t>
    </r>
    <r>
      <rPr>
        <sz val="18"/>
        <color rgb="FF569CD6"/>
        <rFont val="Consolas"/>
        <family val="3"/>
      </rPr>
      <t>factor</t>
    </r>
    <r>
      <rPr>
        <sz val="18"/>
        <color rgb="FFD4D4D4"/>
        <rFont val="Consolas"/>
        <family val="3"/>
      </rPr>
      <t xml:space="preserve"> </t>
    </r>
    <r>
      <rPr>
        <sz val="18"/>
        <color theme="5"/>
        <rFont val="Consolas"/>
        <family val="3"/>
      </rPr>
      <t xml:space="preserve">= </t>
    </r>
    <r>
      <rPr>
        <sz val="18"/>
        <color rgb="FFD4D4D4"/>
        <rFont val="Consolas"/>
        <family val="3"/>
      </rPr>
      <t>0.86</t>
    </r>
    <r>
      <rPr>
        <sz val="18"/>
        <color rgb="FF6A9955"/>
        <rFont val="Consolas"/>
        <family val="3"/>
      </rPr>
      <t>; // Factor diferente para móviles</t>
    </r>
  </si>
  <si>
    <r>
      <t>posicionAjustada</t>
    </r>
    <r>
      <rPr>
        <sz val="18"/>
        <color rgb="FFD4D4D4"/>
        <rFont val="Consolas"/>
        <family val="3"/>
      </rPr>
      <t xml:space="preserve"> </t>
    </r>
    <r>
      <rPr>
        <sz val="18"/>
        <color theme="5"/>
        <rFont val="Consolas"/>
        <family val="3"/>
      </rPr>
      <t xml:space="preserve">= </t>
    </r>
    <r>
      <rPr>
        <sz val="18"/>
        <color rgb="FFD4D4D4"/>
        <rFont val="Consolas"/>
        <family val="3"/>
      </rPr>
      <t>`cp${</t>
    </r>
    <r>
      <rPr>
        <sz val="18"/>
        <color rgb="FF00B0F0"/>
        <rFont val="Consolas"/>
        <family val="3"/>
      </rPr>
      <t>Math.round</t>
    </r>
    <r>
      <rPr>
        <sz val="18"/>
        <color rgb="FFD4D4D4"/>
        <rFont val="Consolas"/>
        <family val="3"/>
      </rPr>
      <t>(</t>
    </r>
    <r>
      <rPr>
        <sz val="18"/>
        <color rgb="FF00B0F0"/>
        <rFont val="Consolas"/>
        <family val="3"/>
      </rPr>
      <t xml:space="preserve">numero </t>
    </r>
    <r>
      <rPr>
        <sz val="18"/>
        <color theme="5"/>
        <rFont val="Consolas"/>
        <family val="3"/>
      </rPr>
      <t>*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factor</t>
    </r>
    <r>
      <rPr>
        <sz val="18"/>
        <color rgb="FFD4D4D4"/>
        <rFont val="Consolas"/>
        <family val="3"/>
      </rPr>
      <t>)}`</t>
    </r>
    <r>
      <rPr>
        <sz val="18"/>
        <color rgb="FF6A9955"/>
        <rFont val="Consolas"/>
        <family val="3"/>
      </rPr>
      <t>;</t>
    </r>
  </si>
  <si>
    <t xml:space="preserve">  }</t>
  </si>
  <si>
    <r>
      <rPr>
        <sz val="18"/>
        <color theme="0" tint="-0.14999847407452621"/>
        <rFont val="Consolas"/>
        <family val="3"/>
      </rPr>
      <t>}</t>
    </r>
    <r>
      <rPr>
        <sz val="18"/>
        <color theme="9"/>
        <rFont val="Consolas"/>
        <family val="3"/>
      </rPr>
      <t>/*</t>
    </r>
  </si>
  <si>
    <t>║        2. Luego verificar tablets (solo si no es móvil)        ║</t>
  </si>
  <si>
    <t xml:space="preserve">  else if (anchoPantalla &lt;= 900) {</t>
  </si>
  <si>
    <t xml:space="preserve">    posicionAjustada = pTablet[posicion] || posicion;</t>
  </si>
  <si>
    <t xml:space="preserve">    if (!pTablet[posicion]) {</t>
  </si>
  <si>
    <t xml:space="preserve">      const numero = parseInt(posicion.replace('cp', '')) || 0;</t>
  </si>
  <si>
    <t xml:space="preserve">      const factor = 0.9;</t>
  </si>
  <si>
    <t xml:space="preserve">      posicionAjustada = `cp${Math.round(numero * factor)}`;</t>
  </si>
  <si>
    <t xml:space="preserve">    }</t>
  </si>
  <si>
    <t>x</t>
  </si>
  <si>
    <t>Indice Cantos</t>
  </si>
  <si>
    <t xml:space="preserve">  return { acorde: nota, posicion: posicionAjustada, base: nota, extension };</t>
  </si>
  <si>
    <t>║                         DATOS DEL CANTO                        ║</t>
  </si>
  <si>
    <r>
      <rPr>
        <sz val="18"/>
        <color theme="5"/>
        <rFont val="Consolas"/>
        <family val="3"/>
      </rPr>
      <t xml:space="preserve">const </t>
    </r>
    <r>
      <rPr>
        <sz val="18"/>
        <color rgb="FF00B0F0"/>
        <rFont val="Consolas"/>
        <family val="3"/>
      </rPr>
      <t xml:space="preserve">partitura </t>
    </r>
    <r>
      <rPr>
        <sz val="18"/>
        <color theme="5"/>
        <rFont val="Consolas"/>
        <family val="3"/>
      </rPr>
      <t>=</t>
    </r>
    <r>
      <rPr>
        <sz val="18"/>
        <color rgb="FFD4D4D4"/>
        <rFont val="Consolas"/>
        <family val="3"/>
      </rPr>
      <t xml:space="preserve"> {</t>
    </r>
  </si>
  <si>
    <t xml:space="preserve">      tituloc: NOMBREDELCANTO,</t>
  </si>
  <si>
    <t xml:space="preserve">      titulo: NOMBREDELCANTO,</t>
  </si>
  <si>
    <t>║                 Estructura para Cantor (texto)                 ║</t>
  </si>
  <si>
    <r>
      <rPr>
        <sz val="18"/>
        <color theme="5"/>
        <rFont val="Consolas"/>
        <family val="3"/>
      </rPr>
      <t>cantor</t>
    </r>
    <r>
      <rPr>
        <sz val="18"/>
        <color rgb="FFD4D4D4"/>
        <rFont val="Consolas"/>
        <family val="3"/>
      </rPr>
      <t>: [</t>
    </r>
  </si>
  <si>
    <t>║       Estructura para Cantor (acordes) - CON FUNCIÓN ac()      ║</t>
  </si>
  <si>
    <r>
      <rPr>
        <sz val="18"/>
        <color theme="5"/>
        <rFont val="Consolas"/>
        <family val="3"/>
      </rPr>
      <t>cantorAcordes:</t>
    </r>
    <r>
      <rPr>
        <sz val="18"/>
        <color rgb="FFD4D4D4"/>
        <rFont val="Consolas"/>
        <family val="3"/>
      </rPr>
      <t xml:space="preserve"> [</t>
    </r>
  </si>
  <si>
    <t>acorde</t>
  </si>
  <si>
    <t>[ac("</t>
  </si>
  <si>
    <t>", "cp</t>
  </si>
  <si>
    <t>","</t>
  </si>
  <si>
    <r>
      <t>],</t>
    </r>
    <r>
      <rPr>
        <sz val="18"/>
        <color rgb="FF6A9955"/>
        <rFont val="Consolas"/>
        <family val="3"/>
      </rPr>
      <t>/*</t>
    </r>
  </si>
  <si>
    <t>║                Estructura para Asamblea (texto)                ║</t>
  </si>
  <si>
    <t>tipo</t>
  </si>
  <si>
    <t xml:space="preserve">      ],</t>
  </si>
  <si>
    <t>cp</t>
  </si>
  <si>
    <t>m</t>
  </si>
  <si>
    <t xml:space="preserve">      ]</t>
  </si>
  <si>
    <t>║        MANEJO DE CARGA Y REDIMENSIONAMIENTO CORREGIDO          ║</t>
  </si>
  <si>
    <t xml:space="preserve">      }</t>
  </si>
  <si>
    <t xml:space="preserve">        }, 200);</t>
  </si>
  <si>
    <t xml:space="preserve">    }/*</t>
  </si>
  <si>
    <t>║          Iniciar carga del canto y configurar eventos          ║</t>
  </si>
  <si>
    <t>║   Limpiar contenido existente primero para evitar duplicados   ║</t>
  </si>
  <si>
    <t xml:space="preserve">        }</t>
  </si>
  <si>
    <t xml:space="preserve">    );</t>
  </si>
  <si>
    <r>
      <rPr>
        <b/>
        <sz val="18"/>
        <color rgb="FFFFC000"/>
        <rFont val="Consolas"/>
        <family val="3"/>
      </rPr>
      <t>]</t>
    </r>
    <r>
      <rPr>
        <b/>
        <sz val="18"/>
        <color rgb="FFD4D4D4"/>
        <rFont val="Consolas"/>
        <family val="3"/>
      </rPr>
      <t>,</t>
    </r>
    <r>
      <rPr>
        <b/>
        <sz val="18"/>
        <color theme="9"/>
        <rFont val="Consolas"/>
        <family val="3"/>
      </rPr>
      <t>/*</t>
    </r>
  </si>
  <si>
    <r>
      <t xml:space="preserve">      </t>
    </r>
    <r>
      <rPr>
        <sz val="18"/>
        <color rgb="FF00B0F0"/>
        <rFont val="Consolas"/>
        <family val="3"/>
      </rPr>
      <t>asamblea</t>
    </r>
    <r>
      <rPr>
        <sz val="18"/>
        <color rgb="FFD4D4D4"/>
        <rFont val="Consolas"/>
        <family val="3"/>
      </rPr>
      <t xml:space="preserve">: </t>
    </r>
    <r>
      <rPr>
        <b/>
        <sz val="18"/>
        <color rgb="FFFFC000"/>
        <rFont val="Consolas"/>
        <family val="3"/>
      </rPr>
      <t>[</t>
    </r>
  </si>
  <si>
    <r>
      <rPr>
        <b/>
        <sz val="18"/>
        <color rgb="FFFFC000"/>
        <rFont val="Consolas"/>
        <family val="3"/>
      </rPr>
      <t xml:space="preserve">  };</t>
    </r>
    <r>
      <rPr>
        <b/>
        <sz val="18"/>
        <color theme="9"/>
        <rFont val="Consolas"/>
        <family val="3"/>
      </rPr>
      <t>/*</t>
    </r>
  </si>
  <si>
    <r>
      <t xml:space="preserve">      if (!</t>
    </r>
    <r>
      <rPr>
        <sz val="18"/>
        <color rgb="FF00B0F0"/>
        <rFont val="Consolas"/>
        <family val="3"/>
      </rPr>
      <t>cargando</t>
    </r>
    <r>
      <rPr>
        <sz val="18"/>
        <color rgb="FFD4D4D4"/>
        <rFont val="Consolas"/>
        <family val="3"/>
      </rPr>
      <t>) {</t>
    </r>
  </si>
  <si>
    <r>
      <t xml:space="preserve">        </t>
    </r>
    <r>
      <rPr>
        <sz val="18"/>
        <color rgb="FF00B0F0"/>
        <rFont val="Consolas"/>
        <family val="3"/>
      </rPr>
      <t>cargando</t>
    </r>
    <r>
      <rPr>
        <sz val="18"/>
        <color rgb="FFD4D4D4"/>
        <rFont val="Consolas"/>
        <family val="3"/>
      </rPr>
      <t xml:space="preserve"> = true;</t>
    </r>
  </si>
  <si>
    <r>
      <t xml:space="preserve">        </t>
    </r>
    <r>
      <rPr>
        <sz val="18"/>
        <color rgb="FF00B0F0"/>
        <rFont val="Consolas"/>
        <family val="3"/>
      </rPr>
      <t>cargarCanto</t>
    </r>
    <r>
      <rPr>
        <sz val="18"/>
        <color rgb="FFD4D4D4"/>
        <rFont val="Consolas"/>
        <family val="3"/>
      </rPr>
      <t>(partitura);</t>
    </r>
  </si>
  <si>
    <r>
      <t xml:space="preserve">        </t>
    </r>
    <r>
      <rPr>
        <sz val="18"/>
        <color theme="5"/>
        <rFont val="Consolas"/>
        <family val="3"/>
      </rPr>
      <t>setTimeout</t>
    </r>
    <r>
      <rPr>
        <sz val="18"/>
        <color rgb="FFD4D4D4"/>
        <rFont val="Consolas"/>
        <family val="3"/>
      </rPr>
      <t xml:space="preserve">(() =&gt; { </t>
    </r>
    <r>
      <rPr>
        <sz val="18"/>
        <color theme="5"/>
        <rFont val="Consolas"/>
        <family val="3"/>
      </rPr>
      <t>cargando</t>
    </r>
    <r>
      <rPr>
        <sz val="18"/>
        <color rgb="FFD4D4D4"/>
        <rFont val="Consolas"/>
        <family val="3"/>
      </rPr>
      <t xml:space="preserve"> = </t>
    </r>
    <r>
      <rPr>
        <sz val="18"/>
        <color theme="5"/>
        <rFont val="Consolas"/>
        <family val="3"/>
      </rPr>
      <t>false</t>
    </r>
    <r>
      <rPr>
        <sz val="18"/>
        <color rgb="FFD4D4D4"/>
        <rFont val="Consolas"/>
        <family val="3"/>
      </rPr>
      <t>; }, 300);</t>
    </r>
  </si>
  <si>
    <r>
      <t xml:space="preserve">    document.</t>
    </r>
    <r>
      <rPr>
        <sz val="18"/>
        <color rgb="FF00B0F0"/>
        <rFont val="Consolas"/>
        <family val="3"/>
      </rPr>
      <t>addEventListener</t>
    </r>
    <r>
      <rPr>
        <sz val="18"/>
        <color rgb="FFD4D4D4"/>
        <rFont val="Consolas"/>
        <family val="3"/>
      </rPr>
      <t>('</t>
    </r>
    <r>
      <rPr>
        <sz val="18"/>
        <color rgb="FF00B0F0"/>
        <rFont val="Consolas"/>
        <family val="3"/>
      </rPr>
      <t>DOMContentLoaded</t>
    </r>
    <r>
      <rPr>
        <sz val="18"/>
        <color rgb="FFD4D4D4"/>
        <rFont val="Consolas"/>
        <family val="3"/>
      </rPr>
      <t>', () =&gt; {</t>
    </r>
  </si>
  <si>
    <r>
      <t xml:space="preserve">      if (</t>
    </r>
    <r>
      <rPr>
        <sz val="18"/>
        <color rgb="FF00B0F0"/>
        <rFont val="Consolas"/>
        <family val="3"/>
      </rPr>
      <t>contenedor</t>
    </r>
    <r>
      <rPr>
        <sz val="18"/>
        <color rgb="FFD4D4D4"/>
        <rFont val="Consolas"/>
        <family val="3"/>
      </rPr>
      <t xml:space="preserve">) </t>
    </r>
    <r>
      <rPr>
        <sz val="18"/>
        <color rgb="FF00B0F0"/>
        <rFont val="Consolas"/>
        <family val="3"/>
      </rPr>
      <t>contenedor</t>
    </r>
    <r>
      <rPr>
        <sz val="18"/>
        <color rgb="FFD4D4D4"/>
        <rFont val="Consolas"/>
        <family val="3"/>
      </rPr>
      <t>.innerHTML = '';</t>
    </r>
  </si>
  <si>
    <r>
      <t xml:space="preserve">            </t>
    </r>
    <r>
      <rPr>
        <sz val="18"/>
        <color rgb="FF00B0F0"/>
        <rFont val="Consolas"/>
        <family val="3"/>
      </rPr>
      <t>cargarCantoSeguro</t>
    </r>
    <r>
      <rPr>
        <sz val="18"/>
        <color rgb="FFD4D4D4"/>
        <rFont val="Consolas"/>
        <family val="3"/>
      </rPr>
      <t>(partitura);</t>
    </r>
  </si>
  <si>
    <r>
      <t xml:space="preserve">      </t>
    </r>
    <r>
      <rPr>
        <sz val="18"/>
        <color theme="5"/>
        <rFont val="Consolas"/>
        <family val="3"/>
      </rPr>
      <t>const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contenedor</t>
    </r>
    <r>
      <rPr>
        <sz val="18"/>
        <color rgb="FFD4D4D4"/>
        <rFont val="Consolas"/>
        <family val="3"/>
      </rPr>
      <t xml:space="preserve"> = document.getElementById('</t>
    </r>
    <r>
      <rPr>
        <sz val="18"/>
        <color rgb="FF00B0F0"/>
        <rFont val="Consolas"/>
        <family val="3"/>
      </rPr>
      <t>contenedor</t>
    </r>
    <r>
      <rPr>
        <sz val="18"/>
        <color rgb="FFD4D4D4"/>
        <rFont val="Consolas"/>
        <family val="3"/>
      </rPr>
      <t>-partitura');</t>
    </r>
  </si>
  <si>
    <r>
      <t xml:space="preserve">        </t>
    </r>
    <r>
      <rPr>
        <sz val="18"/>
        <color theme="5"/>
        <rFont val="Consolas"/>
        <family val="3"/>
      </rPr>
      <t>timeoutRedimension</t>
    </r>
    <r>
      <rPr>
        <sz val="18"/>
        <color rgb="FFD4D4D4"/>
        <rFont val="Consolas"/>
        <family val="3"/>
      </rPr>
      <t xml:space="preserve"> = </t>
    </r>
    <r>
      <rPr>
        <sz val="18"/>
        <color theme="5"/>
        <rFont val="Consolas"/>
        <family val="3"/>
      </rPr>
      <t>setTimeout</t>
    </r>
    <r>
      <rPr>
        <sz val="18"/>
        <color rgb="FFFFC000"/>
        <rFont val="Consolas"/>
        <family val="3"/>
      </rPr>
      <t>(() =&gt; {</t>
    </r>
  </si>
  <si>
    <r>
      <t xml:space="preserve">        </t>
    </r>
    <r>
      <rPr>
        <sz val="18"/>
        <color theme="5"/>
        <rFont val="Consolas"/>
        <family val="3"/>
      </rPr>
      <t>function</t>
    </r>
    <r>
      <rPr>
        <sz val="18"/>
        <color rgb="FFD4D4D4"/>
        <rFont val="Consolas"/>
        <family val="3"/>
      </rPr>
      <t xml:space="preserve"> </t>
    </r>
    <r>
      <rPr>
        <sz val="18"/>
        <color theme="5"/>
        <rFont val="Consolas"/>
        <family val="3"/>
      </rPr>
      <t>manejarRedimensionamiento</t>
    </r>
    <r>
      <rPr>
        <sz val="18"/>
        <color rgb="FFFFC000"/>
        <rFont val="Consolas"/>
        <family val="3"/>
      </rPr>
      <t>() {</t>
    </r>
  </si>
  <si>
    <r>
      <t xml:space="preserve">        </t>
    </r>
    <r>
      <rPr>
        <sz val="18"/>
        <color theme="5"/>
        <rFont val="Consolas"/>
        <family val="3"/>
      </rPr>
      <t>let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timeoutRedimension</t>
    </r>
    <r>
      <rPr>
        <sz val="18"/>
        <color rgb="FFD4D4D4"/>
        <rFont val="Consolas"/>
        <family val="3"/>
      </rPr>
      <t>;</t>
    </r>
  </si>
  <si>
    <r>
      <t xml:space="preserve">        </t>
    </r>
    <r>
      <rPr>
        <sz val="18"/>
        <color theme="5"/>
        <rFont val="Consolas"/>
        <family val="3"/>
      </rPr>
      <t>clearTimeout</t>
    </r>
    <r>
      <rPr>
        <sz val="18"/>
        <color rgb="FFD4D4D4"/>
        <rFont val="Consolas"/>
        <family val="3"/>
      </rPr>
      <t>(</t>
    </r>
    <r>
      <rPr>
        <sz val="18"/>
        <color rgb="FF00B0F0"/>
        <rFont val="Consolas"/>
        <family val="3"/>
      </rPr>
      <t>timeoutRedimension</t>
    </r>
    <r>
      <rPr>
        <sz val="18"/>
        <color rgb="FFFFC000"/>
        <rFont val="Consolas"/>
        <family val="3"/>
      </rPr>
      <t>);</t>
    </r>
  </si>
  <si>
    <r>
      <t xml:space="preserve">            </t>
    </r>
    <r>
      <rPr>
        <sz val="18"/>
        <color rgb="FF00B0F0"/>
        <rFont val="Consolas"/>
        <family val="3"/>
      </rPr>
      <t>cargarCantoSeguro</t>
    </r>
    <r>
      <rPr>
        <sz val="18"/>
        <color rgb="FFD4D4D4"/>
        <rFont val="Consolas"/>
        <family val="3"/>
      </rPr>
      <t>(</t>
    </r>
    <r>
      <rPr>
        <sz val="18"/>
        <color theme="5"/>
        <rFont val="Consolas"/>
        <family val="3"/>
      </rPr>
      <t>partitura</t>
    </r>
    <r>
      <rPr>
        <sz val="18"/>
        <color rgb="FFFFC000"/>
        <rFont val="Consolas"/>
        <family val="3"/>
      </rPr>
      <t>);</t>
    </r>
  </si>
  <si>
    <r>
      <t xml:space="preserve">            </t>
    </r>
    <r>
      <rPr>
        <sz val="18"/>
        <color theme="5"/>
        <rFont val="Consolas"/>
        <family val="3"/>
      </rPr>
      <t>window</t>
    </r>
    <r>
      <rPr>
        <sz val="18"/>
        <color rgb="FFD4D4D4"/>
        <rFont val="Consolas"/>
        <family val="3"/>
      </rPr>
      <t>.</t>
    </r>
    <r>
      <rPr>
        <sz val="18"/>
        <color rgb="FF00B0F0"/>
        <rFont val="Consolas"/>
        <family val="3"/>
      </rPr>
      <t>addEventListener</t>
    </r>
    <r>
      <rPr>
        <sz val="18"/>
        <color rgb="FFD4D4D4"/>
        <rFont val="Consolas"/>
        <family val="3"/>
      </rPr>
      <t xml:space="preserve">('resize', </t>
    </r>
    <r>
      <rPr>
        <sz val="18"/>
        <color theme="5"/>
        <rFont val="Consolas"/>
        <family val="3"/>
      </rPr>
      <t>manejarRedimensionamiento</t>
    </r>
    <r>
      <rPr>
        <sz val="18"/>
        <color rgb="FFD4D4D4"/>
        <rFont val="Consolas"/>
        <family val="3"/>
      </rPr>
      <t>);</t>
    </r>
  </si>
  <si>
    <r>
      <t xml:space="preserve">      </t>
    </r>
    <r>
      <rPr>
        <sz val="18"/>
        <color rgb="FF00B0F0"/>
        <rFont val="Consolas"/>
        <family val="3"/>
      </rPr>
      <t>asambleaAcordes</t>
    </r>
    <r>
      <rPr>
        <sz val="18"/>
        <color rgb="FFD4D4D4"/>
        <rFont val="Consolas"/>
        <family val="3"/>
      </rPr>
      <t xml:space="preserve">: </t>
    </r>
    <r>
      <rPr>
        <b/>
        <sz val="18"/>
        <color rgb="FFFFC000"/>
        <rFont val="Consolas"/>
        <family val="3"/>
      </rPr>
      <t>[</t>
    </r>
  </si>
  <si>
    <r>
      <t xml:space="preserve">    let </t>
    </r>
    <r>
      <rPr>
        <sz val="18"/>
        <color rgb="FF00B0F0"/>
        <rFont val="Consolas"/>
        <family val="3"/>
      </rPr>
      <t>cargando</t>
    </r>
    <r>
      <rPr>
        <sz val="18"/>
        <color rgb="FFD4D4D4"/>
        <rFont val="Consolas"/>
        <family val="3"/>
      </rPr>
      <t xml:space="preserve"> = </t>
    </r>
    <r>
      <rPr>
        <sz val="18"/>
        <color rgb="FFFFC000"/>
        <rFont val="Consolas"/>
        <family val="3"/>
      </rPr>
      <t>false;</t>
    </r>
  </si>
  <si>
    <r>
      <t xml:space="preserve">    </t>
    </r>
    <r>
      <rPr>
        <sz val="18"/>
        <color theme="5"/>
        <rFont val="Consolas"/>
        <family val="3"/>
      </rPr>
      <t>function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cargarCantoSeguro</t>
    </r>
    <r>
      <rPr>
        <sz val="18"/>
        <color rgb="FFFFC000"/>
        <rFont val="Consolas"/>
        <family val="3"/>
      </rPr>
      <t>(</t>
    </r>
    <r>
      <rPr>
        <sz val="18"/>
        <color theme="5"/>
        <rFont val="Consolas"/>
        <family val="3"/>
      </rPr>
      <t>partitura</t>
    </r>
    <r>
      <rPr>
        <sz val="18"/>
        <color rgb="FFFFC000"/>
        <rFont val="Consolas"/>
        <family val="3"/>
      </rPr>
      <t>) {</t>
    </r>
  </si>
  <si>
    <r>
      <rPr>
        <sz val="18"/>
        <color theme="5"/>
        <rFont val="Consolas"/>
        <family val="3"/>
      </rPr>
      <t>const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pcelular</t>
    </r>
    <r>
      <rPr>
        <sz val="18"/>
        <color rgb="FFD4D4D4"/>
        <rFont val="Consolas"/>
        <family val="3"/>
      </rPr>
      <t xml:space="preserve"> </t>
    </r>
    <r>
      <rPr>
        <b/>
        <sz val="18"/>
        <color rgb="FFFFC000"/>
        <rFont val="Consolas"/>
        <family val="3"/>
      </rPr>
      <t>= {      };</t>
    </r>
  </si>
  <si>
    <r>
      <rPr>
        <sz val="18"/>
        <color theme="5"/>
        <rFont val="Consolas"/>
        <family val="3"/>
      </rPr>
      <t>const</t>
    </r>
    <r>
      <rPr>
        <sz val="18"/>
        <color rgb="FFD4D4D4"/>
        <rFont val="Consolas"/>
        <family val="3"/>
      </rPr>
      <t xml:space="preserve"> </t>
    </r>
    <r>
      <rPr>
        <sz val="18"/>
        <color rgb="FF00B0F0"/>
        <rFont val="Consolas"/>
        <family val="3"/>
      </rPr>
      <t>pTablet</t>
    </r>
    <r>
      <rPr>
        <sz val="18"/>
        <color rgb="FFD4D4D4"/>
        <rFont val="Consolas"/>
        <family val="3"/>
      </rPr>
      <t xml:space="preserve"> </t>
    </r>
    <r>
      <rPr>
        <sz val="18"/>
        <color rgb="FFFFC000"/>
        <rFont val="Consolas"/>
        <family val="3"/>
      </rPr>
      <t>= {       };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</si>
</sst>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Número del canto:&quot;\ General"/>
  </numFmts>
  <fonts count="4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22"/>
      <color theme="10"/>
      <name val="Aptos Narrow"/>
      <family val="2"/>
      <scheme val="minor"/>
    </font>
    <font>
      <b/>
      <sz val="30"/>
      <color rgb="FF00B0F0"/>
      <name val="MV Boli"/>
    </font>
    <font>
      <sz val="11"/>
      <color theme="1"/>
      <name val="Monotype Corsiva"/>
      <family val="4"/>
    </font>
    <font>
      <sz val="11"/>
      <color theme="1"/>
      <name val="MV Boli"/>
    </font>
    <font>
      <sz val="18"/>
      <color theme="9"/>
      <name val="Consolas"/>
      <family val="3"/>
    </font>
    <font>
      <sz val="26"/>
      <color theme="1"/>
      <name val="Aptos Narrow"/>
      <family val="2"/>
      <scheme val="minor"/>
    </font>
    <font>
      <sz val="18"/>
      <color theme="1"/>
      <name val="Franklin Gothic Medium"/>
      <family val="2"/>
    </font>
    <font>
      <sz val="18"/>
      <color theme="1"/>
      <name val="MV Boli"/>
    </font>
    <font>
      <sz val="18"/>
      <color rgb="FFD4D4D4"/>
      <name val="Consolas"/>
      <family val="3"/>
    </font>
    <font>
      <sz val="18"/>
      <color theme="7"/>
      <name val="Consolas"/>
      <family val="3"/>
    </font>
    <font>
      <sz val="18"/>
      <color theme="5"/>
      <name val="Consolas"/>
      <family val="3"/>
    </font>
    <font>
      <sz val="18"/>
      <name val="Consolas"/>
      <family val="3"/>
    </font>
    <font>
      <sz val="18"/>
      <color rgb="FFC586C0"/>
      <name val="Consolas"/>
      <family val="3"/>
    </font>
    <font>
      <sz val="18"/>
      <color rgb="FF00B0F0"/>
      <name val="Consolas"/>
      <family val="3"/>
    </font>
    <font>
      <sz val="18"/>
      <color rgb="FF569CD6"/>
      <name val="Consolas"/>
      <family val="3"/>
    </font>
    <font>
      <sz val="18"/>
      <color theme="7" tint="0.39997558519241921"/>
      <name val="Consolas"/>
      <family val="3"/>
    </font>
    <font>
      <sz val="18"/>
      <color rgb="FFCE9178"/>
      <name val="Consolas"/>
      <family val="3"/>
    </font>
    <font>
      <sz val="18"/>
      <color rgb="FF6A9955"/>
      <name val="Consolas"/>
      <family val="3"/>
    </font>
    <font>
      <sz val="18"/>
      <color theme="0" tint="-0.14999847407452621"/>
      <name val="Consolas"/>
      <family val="3"/>
    </font>
    <font>
      <sz val="18"/>
      <color theme="10"/>
      <name val="Aptos Narrow"/>
      <family val="2"/>
      <scheme val="minor"/>
    </font>
    <font>
      <sz val="18"/>
      <color rgb="FFFF0000"/>
      <name val="Aptos Narrow"/>
      <family val="2"/>
      <scheme val="minor"/>
    </font>
    <font>
      <b/>
      <sz val="24"/>
      <color theme="5"/>
      <name val="Aptos Narrow"/>
      <family val="2"/>
      <scheme val="minor"/>
    </font>
    <font>
      <sz val="18"/>
      <color theme="0"/>
      <name val="Aptos Narrow"/>
      <family val="2"/>
      <scheme val="minor"/>
    </font>
    <font>
      <i/>
      <sz val="20"/>
      <color theme="1"/>
      <name val="MV Boli"/>
    </font>
    <font>
      <sz val="18"/>
      <name val="Aptos Narrow"/>
      <family val="2"/>
      <scheme val="minor"/>
    </font>
    <font>
      <b/>
      <sz val="18"/>
      <color rgb="FFD4D4D4"/>
      <name val="Consolas"/>
      <family val="3"/>
    </font>
    <font>
      <b/>
      <sz val="18"/>
      <color theme="9"/>
      <name val="Consolas"/>
      <family val="3"/>
    </font>
    <font>
      <sz val="20"/>
      <color rgb="FF6A9955"/>
      <name val="Consolas"/>
      <family val="3"/>
    </font>
    <font>
      <sz val="16"/>
      <color theme="1"/>
      <name val="Aptos Narrow"/>
      <family val="2"/>
      <scheme val="minor"/>
    </font>
    <font>
      <sz val="15"/>
      <color theme="0"/>
      <name val="MV Boli"/>
    </font>
    <font>
      <sz val="12"/>
      <color theme="1"/>
      <name val="Monotype Corsiva"/>
      <family val="4"/>
    </font>
    <font>
      <b/>
      <sz val="18"/>
      <color theme="1"/>
      <name val="MV Boli"/>
    </font>
    <font>
      <sz val="18"/>
      <color theme="1"/>
      <name val="Monotype Corsiva"/>
      <family val="4"/>
    </font>
    <font>
      <sz val="14"/>
      <color theme="1"/>
      <name val="Monotype Corsiva"/>
      <family val="4"/>
    </font>
    <font>
      <b/>
      <sz val="16"/>
      <color theme="5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0"/>
      <name val="MV Boli"/>
    </font>
    <font>
      <sz val="18"/>
      <color rgb="FFFFC000"/>
      <name val="Consolas"/>
      <family val="3"/>
    </font>
    <font>
      <b/>
      <sz val="18"/>
      <color rgb="FFFFC000"/>
      <name val="Consolas"/>
      <family val="3"/>
    </font>
    <font>
      <sz val="11"/>
      <color theme="0"/>
      <name val="MV Boli"/>
    </font>
    <font>
      <sz val="11"/>
      <color theme="0"/>
      <name val="Monotype Corsiva"/>
      <family val="4"/>
    </font>
    <font>
      <i/>
      <sz val="20"/>
      <color theme="0"/>
      <name val="MV Boli"/>
    </font>
    <font>
      <sz val="28"/>
      <color theme="0"/>
      <name val="Monotype Corsiva"/>
      <family val="4"/>
    </font>
  </fonts>
  <fills count="12">
    <fill>
      <patternFill patternType="none"/>
    </fill>
    <fill>
      <patternFill patternType="gray125"/>
    </fill>
    <fill>
      <patternFill patternType="solid">
        <fgColor rgb="FFDEB9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7C0E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5">
    <xf numFmtId="0" fontId="0" fillId="0" borderId="0" xfId="0"/>
    <xf numFmtId="0" fontId="3" fillId="2" borderId="0" xfId="0" applyFont="1" applyFill="1"/>
    <xf numFmtId="0" fontId="4" fillId="2" borderId="0" xfId="1" applyFont="1" applyFill="1" applyAlignment="1">
      <alignment horizontal="left"/>
    </xf>
    <xf numFmtId="0" fontId="5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4" fillId="0" borderId="0" xfId="1" applyFont="1" applyAlignment="1">
      <alignment horizontal="center"/>
    </xf>
    <xf numFmtId="164" fontId="25" fillId="0" borderId="1" xfId="0" applyNumberFormat="1" applyFont="1" applyBorder="1" applyAlignment="1">
      <alignment horizontal="left"/>
    </xf>
    <xf numFmtId="0" fontId="26" fillId="0" borderId="0" xfId="0" applyFont="1"/>
    <xf numFmtId="0" fontId="15" fillId="0" borderId="0" xfId="0" applyFont="1" applyAlignment="1">
      <alignment vertical="center"/>
    </xf>
    <xf numFmtId="0" fontId="3" fillId="0" borderId="0" xfId="0" quotePrefix="1" applyFont="1"/>
    <xf numFmtId="0" fontId="15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2" xfId="0" applyFont="1" applyBorder="1"/>
    <xf numFmtId="0" fontId="27" fillId="3" borderId="2" xfId="0" applyFont="1" applyFill="1" applyBorder="1" applyProtection="1"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6" borderId="0" xfId="0" applyFont="1" applyFill="1" applyAlignment="1" applyProtection="1">
      <alignment horizontal="center"/>
      <protection locked="0"/>
    </xf>
    <xf numFmtId="0" fontId="28" fillId="5" borderId="0" xfId="0" applyFont="1" applyFill="1" applyAlignment="1" applyProtection="1">
      <alignment horizontal="center"/>
      <protection locked="0"/>
    </xf>
    <xf numFmtId="0" fontId="29" fillId="7" borderId="2" xfId="0" applyFont="1" applyFill="1" applyBorder="1" applyProtection="1">
      <protection locked="0"/>
    </xf>
    <xf numFmtId="0" fontId="28" fillId="8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/>
      <protection locked="0"/>
    </xf>
    <xf numFmtId="0" fontId="30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/>
    <xf numFmtId="0" fontId="34" fillId="3" borderId="0" xfId="0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0" fontId="35" fillId="5" borderId="0" xfId="0" applyFont="1" applyFill="1"/>
    <xf numFmtId="0" fontId="36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 vertical="center"/>
    </xf>
    <xf numFmtId="0" fontId="37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38" fillId="8" borderId="0" xfId="0" applyFont="1" applyFill="1"/>
    <xf numFmtId="0" fontId="36" fillId="10" borderId="0" xfId="0" applyFont="1" applyFill="1" applyAlignment="1">
      <alignment horizontal="center"/>
    </xf>
    <xf numFmtId="0" fontId="35" fillId="10" borderId="0" xfId="0" applyFont="1" applyFill="1" applyAlignment="1">
      <alignment horizontal="center"/>
    </xf>
    <xf numFmtId="0" fontId="35" fillId="10" borderId="0" xfId="0" applyFont="1" applyFill="1" applyAlignment="1">
      <alignment horizontal="center" vertical="center"/>
    </xf>
    <xf numFmtId="0" fontId="38" fillId="10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38" fillId="5" borderId="0" xfId="0" applyFont="1" applyFill="1"/>
    <xf numFmtId="0" fontId="39" fillId="0" borderId="0" xfId="0" applyFont="1"/>
    <xf numFmtId="0" fontId="22" fillId="0" borderId="0" xfId="0" applyFont="1" applyAlignment="1">
      <alignment vertical="center"/>
    </xf>
    <xf numFmtId="0" fontId="27" fillId="3" borderId="3" xfId="0" applyFont="1" applyFill="1" applyBorder="1" applyProtection="1">
      <protection locked="0"/>
    </xf>
    <xf numFmtId="0" fontId="29" fillId="7" borderId="3" xfId="0" applyFont="1" applyFill="1" applyBorder="1" applyProtection="1">
      <protection locked="0"/>
    </xf>
    <xf numFmtId="0" fontId="34" fillId="3" borderId="0" xfId="0" applyFont="1" applyFill="1"/>
    <xf numFmtId="0" fontId="36" fillId="5" borderId="0" xfId="0" applyFont="1" applyFill="1" applyAlignment="1">
      <alignment horizontal="center"/>
    </xf>
    <xf numFmtId="0" fontId="12" fillId="5" borderId="0" xfId="0" applyFont="1" applyFill="1"/>
    <xf numFmtId="0" fontId="36" fillId="8" borderId="0" xfId="0" applyFont="1" applyFill="1" applyAlignment="1">
      <alignment horizontal="center"/>
    </xf>
    <xf numFmtId="0" fontId="35" fillId="8" borderId="0" xfId="0" applyFont="1" applyFill="1"/>
    <xf numFmtId="0" fontId="40" fillId="0" borderId="0" xfId="0" applyFont="1"/>
    <xf numFmtId="0" fontId="35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0" fillId="11" borderId="0" xfId="0" applyFill="1"/>
    <xf numFmtId="0" fontId="3" fillId="11" borderId="0" xfId="0" applyFont="1" applyFill="1"/>
    <xf numFmtId="0" fontId="3" fillId="0" borderId="0" xfId="0" applyFont="1" applyFill="1"/>
    <xf numFmtId="0" fontId="41" fillId="0" borderId="0" xfId="1" applyFont="1" applyFill="1" applyAlignment="1">
      <alignment horizontal="left"/>
    </xf>
    <xf numFmtId="0" fontId="36" fillId="0" borderId="0" xfId="1" applyFont="1" applyFill="1" applyAlignment="1">
      <alignment horizontal="center"/>
    </xf>
    <xf numFmtId="0" fontId="12" fillId="0" borderId="0" xfId="1" applyFont="1" applyAlignment="1">
      <alignment horizontal="center"/>
    </xf>
    <xf numFmtId="0" fontId="36" fillId="0" borderId="0" xfId="1" applyFont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11" fillId="0" borderId="0" xfId="1" applyFont="1" applyFill="1" applyAlignment="1">
      <alignment horizontal="left"/>
    </xf>
    <xf numFmtId="0" fontId="3" fillId="0" borderId="0" xfId="0" applyFont="1" applyBorder="1"/>
    <xf numFmtId="0" fontId="29" fillId="7" borderId="0" xfId="0" applyFont="1" applyFill="1" applyBorder="1" applyProtection="1">
      <protection locked="0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4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6" fillId="5" borderId="0" xfId="0" applyFont="1" applyFill="1" applyAlignment="1" applyProtection="1">
      <alignment horizontal="center"/>
      <protection locked="0"/>
    </xf>
    <xf numFmtId="0" fontId="46" fillId="6" borderId="0" xfId="0" applyFont="1" applyFill="1" applyAlignment="1" applyProtection="1">
      <alignment horizontal="center"/>
      <protection locked="0"/>
    </xf>
    <xf numFmtId="0" fontId="46" fillId="8" borderId="0" xfId="0" applyFont="1" applyFill="1" applyAlignment="1" applyProtection="1">
      <alignment horizontal="center"/>
      <protection locked="0"/>
    </xf>
    <xf numFmtId="0" fontId="46" fillId="9" borderId="0" xfId="0" applyFont="1" applyFill="1" applyAlignment="1" applyProtection="1">
      <alignment horizontal="center"/>
      <protection locked="0"/>
    </xf>
    <xf numFmtId="0" fontId="44" fillId="0" borderId="0" xfId="0" applyFont="1" applyAlignment="1">
      <alignment horizontal="center" vertical="center"/>
    </xf>
    <xf numFmtId="0" fontId="47" fillId="0" borderId="0" xfId="0" quotePrefix="1" applyFont="1" applyAlignment="1">
      <alignment horizontal="center" vertical="center"/>
    </xf>
    <xf numFmtId="0" fontId="44" fillId="0" borderId="0" xfId="0" applyFont="1"/>
  </cellXfs>
  <cellStyles count="2">
    <cellStyle name="Hyperlink" xfId="1" builtinId="8"/>
    <cellStyle name="Normal" xfId="0" builtinId="0"/>
  </cellStyles>
  <dxfs count="24"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z val="18"/>
        <name val="MV Bol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ranklin Gothic Medium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MV Boli"/>
        <scheme val="none"/>
      </font>
      <alignment horizontal="center" vertical="bottom" textRotation="0" wrapText="0" indent="0" justifyLastLine="0" shrinkToFit="0" readingOrder="0"/>
    </dxf>
    <dxf>
      <font>
        <sz val="18"/>
        <name val="MV Boli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ranklin Gothic Medium"/>
        <family val="2"/>
        <scheme val="none"/>
      </font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Indic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75859</xdr:colOff>
      <xdr:row>0</xdr:row>
      <xdr:rowOff>17340</xdr:rowOff>
    </xdr:from>
    <xdr:to>
      <xdr:col>0</xdr:col>
      <xdr:colOff>1349385</xdr:colOff>
      <xdr:row>1</xdr:row>
      <xdr:rowOff>339980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8F0534-3A7F-4CB1-B07B-31644BA1E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31" r="8031"/>
        <a:stretch/>
      </xdr:blipFill>
      <xdr:spPr bwMode="auto">
        <a:xfrm>
          <a:off x="75859" y="17340"/>
          <a:ext cx="1273526" cy="8381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b\Github\cantos\resucito\Codificacion%20Resucito.xlsm" TargetMode="External"/><Relationship Id="rId1" Type="http://schemas.openxmlformats.org/officeDocument/2006/relationships/externalLinkPath" Target="/db/Github/cantos/resucito/Codificacion%20Resuci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ice"/>
      <sheetName val="MARIA, MADRE MIA"/>
      <sheetName val="Boceto-old"/>
      <sheetName val="bk2"/>
      <sheetName val="MARIA MADRE MIA (Code Backup)"/>
      <sheetName val="Scripts mains"/>
      <sheetName val="Indice Canto"/>
      <sheetName val="data-Cantos"/>
      <sheetName val="creando Directorios"/>
      <sheetName val="Find bk2"/>
      <sheetName val="MARIA MADRE MIA (3)"/>
      <sheetName val="Codigo Canto"/>
      <sheetName val="Indice Backups"/>
      <sheetName val="A la cena del cordero"/>
      <sheetName val="A LA VÍCTIMA PASCUAL"/>
      <sheetName val="A NADIE DEMOS OCASIÓN DE TROPIE"/>
      <sheetName val="A TI LEVANTO MIS OJOS "/>
      <sheetName val="A TI LEVANTO MIS OJOS x"/>
      <sheetName val="-A TI, SEÑOR, EN MI CLAMOR IMPL"/>
      <sheetName val="A TI, SEÑOR, EN MI CLAMOR IMPLO"/>
      <sheetName val="A TI, SEÑOR, LEVANTO MI ALMA "/>
      <sheetName val="A TI, SEÑOR, SE DEBE LA ALABANZ"/>
      <sheetName val="ABBÁ, PADRE"/>
      <sheetName val="ABRAHAM"/>
      <sheetName val="ACLAMAD AL SEÑOR"/>
      <sheetName val="ADÓNDE TE ESCONDISTE, AMADO "/>
      <sheetName val="ACLAMACIONES A LA ORACIÓN DE LO"/>
      <sheetName val="AL DESPERTAR"/>
      <sheetName val="ALABAD AL SEÑOR EN EL CIELO"/>
      <sheetName val="ALEGRÍA, HA NACIDO EL SALVAD"/>
      <sheetName val="ALELUYA INTERLECCIONAL"/>
      <sheetName val="ALELUYA, ALABAD AL SEÑOR"/>
      <sheetName val="ALELUYA, BENDECID AL SEÑOR"/>
      <sheetName val="ALELUYA, YA LLEGÓ EL REINO "/>
      <sheetName val="ALZAOS,PUERTAS"/>
      <sheetName val="AMÉN, AMÉN, AMÉN "/>
      <sheetName val="AMO AL SEÑOR"/>
      <sheetName val="ANTÍFONA PARA EL EVANGELIO "/>
      <sheetName val="ASÍ HABLA EL AMÉN"/>
      <sheetName val="AQUEDAH"/>
      <sheetName val="AVE MARÍA I"/>
      <sheetName val="AVE MARÍA II (1984)"/>
      <sheetName val="BABILONIA CRIMINAL"/>
      <sheetName val="BALAAM"/>
      <sheetName val="BENDECIRÉ AL SEÑOR EN TODO TIEM"/>
      <sheetName val="ALELUYA PASCUAL"/>
      <sheetName val="Preparacion Canto"/>
      <sheetName val="CONSOLAD A MI PUEBLO"/>
      <sheetName val="ESCUCHAD, ISLAS LEJANAS "/>
      <sheetName val="GLORIA DIOS EN LO ALTO DEL CIEL"/>
      <sheetName val="GLORIA A DIOS EN LO ALTO-old"/>
      <sheetName val="ME HAS SEDUCIDO, SEÑOR "/>
      <sheetName val="ID Y ANUNCIAD A MIS HERMANOS"/>
      <sheetName val="PREFACIO PARA EL TIEMPO PASCUAL"/>
      <sheetName val="PLEGARIA EUCARÍSTICA II -1"/>
      <sheetName val="PLEGARIA EUCARÍSTICA II -2"/>
      <sheetName val="PLEGARIA EUCARÍSTICA II -3"/>
      <sheetName val="SANTO ROMA 77"/>
      <sheetName val="ACORDES ☺"/>
      <sheetName val="Posicion"/>
      <sheetName val="URL"/>
      <sheetName val="BENDICE, ALMA MÍA, A YAHVEH"/>
      <sheetName val="BENDITA ERES TÚ, MARÍA "/>
      <sheetName val="BENDICIÓN DEL AGUA "/>
      <sheetName val="BENDICIÓN DEL AGUA  Continuacio"/>
      <sheetName val="MARIA MADRE MIA (2)"/>
      <sheetName val="BENDITO SEA DIOS"/>
      <sheetName val="BENEDICTUS"/>
      <sheetName val="CANTAD A DIOS"/>
      <sheetName val="CANTAD AL SEÑOR "/>
      <sheetName val="CÁNTICO DE LOS TRES JÓVENES "/>
      <sheetName val="CANTO DE MOISÉS"/>
      <sheetName val="CARITAS CHRISTI URGET NOS "/>
      <sheetName val="ACORDES ☺ (2)"/>
      <sheetName val="CARMEN 63 "/>
      <sheetName val="COMO CONDENADOS A MUERTE "/>
      <sheetName val="CÓMO ES MARAVILLOSO"/>
      <sheetName val="CELEBRACIÓN PENITENCIAL"/>
      <sheetName val="COMO DESTILA LA MIEL"/>
      <sheetName val="COMO EL IMPULSO QUE SIENTE LA I"/>
      <sheetName val="COMO LA CIERVA "/>
      <sheetName val="COMO OVEJA QUE VE"/>
      <sheetName val="CONSOLAD A MI PUEBLO☺"/>
      <sheetName val="CORDERO DE DIOS"/>
      <sheetName val="CRISTO ES LA LUZ"/>
      <sheetName val="CUANDO EL SEÑOR"/>
      <sheetName val="CUANDO ISRAEL SALIÓ DE EGIPTO"/>
      <sheetName val="DAYENÚ "/>
      <sheetName val="DAYENÚ Continuacion"/>
      <sheetName val="MARIA MADRE MIA (4)"/>
      <sheetName val="DE PROFUNDIS"/>
      <sheetName val="MARIA, MADRE MIA (2)"/>
      <sheetName val="ESCUCHAD, ISLAS LEJANAS"/>
      <sheetName val="CUANDO DORMÍA"/>
      <sheetName val="DÉBO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A3" t="str">
            <v>#Pg</v>
          </cell>
          <cell r="B3" t="str">
            <v>ID</v>
          </cell>
          <cell r="C3" t="str">
            <v>Or#</v>
          </cell>
          <cell r="D3" t="str">
            <v>c</v>
          </cell>
          <cell r="E3" t="str">
            <v>Title</v>
          </cell>
          <cell r="F3" t="str">
            <v>c2</v>
          </cell>
          <cell r="G3" t="str">
            <v>c3</v>
          </cell>
          <cell r="H3" t="str">
            <v>Titulo</v>
          </cell>
          <cell r="I3" t="str">
            <v>c0</v>
          </cell>
          <cell r="J3" t="str">
            <v>Subtitle</v>
          </cell>
          <cell r="K3" t="str">
            <v>c01</v>
          </cell>
          <cell r="L3" t="str">
            <v>Subtitle5</v>
          </cell>
          <cell r="M3" t="str">
            <v>c02</v>
          </cell>
          <cell r="N3" t="str">
            <v>Category</v>
          </cell>
          <cell r="O3" t="str">
            <v>c03</v>
          </cell>
          <cell r="P3" t="str">
            <v>Categoria</v>
          </cell>
          <cell r="Q3" t="str">
            <v>c04</v>
          </cell>
          <cell r="R3" t="str">
            <v>moments</v>
          </cell>
          <cell r="S3" t="str">
            <v>c05</v>
          </cell>
          <cell r="T3" t="str">
            <v>Pascua</v>
          </cell>
          <cell r="U3" t="str">
            <v>c09</v>
          </cell>
          <cell r="V3" t="str">
            <v>Pentecostés</v>
          </cell>
          <cell r="W3" t="str">
            <v>c010</v>
          </cell>
          <cell r="X3" t="str">
            <v>Virgen</v>
          </cell>
          <cell r="Y3" t="str">
            <v>c011</v>
          </cell>
          <cell r="Z3" t="str">
            <v>Niños</v>
          </cell>
          <cell r="AA3" t="str">
            <v>c012</v>
          </cell>
          <cell r="AB3" t="str">
            <v>Laudes/Vispera</v>
          </cell>
          <cell r="AC3" t="str">
            <v>c013</v>
          </cell>
          <cell r="AD3" t="str">
            <v>Entrada</v>
          </cell>
          <cell r="AE3" t="str">
            <v>c020</v>
          </cell>
          <cell r="AF3" t="str">
            <v>URL Por categoria</v>
          </cell>
          <cell r="AG3" t="str">
            <v>URL por nombre</v>
          </cell>
          <cell r="AH3" t="str">
            <v>c021</v>
          </cell>
          <cell r="AI3" t="str">
            <v>c022</v>
          </cell>
          <cell r="AJ3" t="str">
            <v>c023</v>
          </cell>
          <cell r="AK3" t="str">
            <v>Codigo</v>
          </cell>
          <cell r="AL3" t="str">
            <v>CANTO</v>
          </cell>
          <cell r="AM3" t="str">
            <v>canto2</v>
          </cell>
          <cell r="AN3" t="str">
            <v>citas</v>
          </cell>
          <cell r="AO3" t="str">
            <v>letra</v>
          </cell>
          <cell r="AP3" t="str">
            <v>Column1</v>
          </cell>
          <cell r="AQ3" t="str">
            <v>Column2</v>
          </cell>
        </row>
        <row r="4">
          <cell r="A4">
            <v>237</v>
          </cell>
          <cell r="B4" t="str">
            <v>{id:</v>
          </cell>
          <cell r="C4">
            <v>1</v>
          </cell>
          <cell r="D4" t="str">
            <v>,</v>
          </cell>
          <cell r="E4" t="str">
            <v xml:space="preserve">title: </v>
          </cell>
          <cell r="F4" t="str">
            <v>"</v>
          </cell>
          <cell r="G4" t="str">
            <v>alacenadelcordero</v>
          </cell>
          <cell r="H4" t="str">
            <v>A la cena del Cordero</v>
          </cell>
          <cell r="I4" t="str">
            <v>",</v>
          </cell>
          <cell r="J4" t="str">
            <v xml:space="preserve"> subtitle: </v>
          </cell>
          <cell r="K4" t="str">
            <v>"</v>
          </cell>
          <cell r="L4" t="str">
            <v>Himno lat. «Ad cenam Agni providi»</v>
          </cell>
          <cell r="M4" t="str">
            <v xml:space="preserve">", </v>
          </cell>
          <cell r="N4" t="str">
            <v xml:space="preserve">category: </v>
          </cell>
          <cell r="O4" t="str">
            <v>"</v>
          </cell>
          <cell r="P4" t="str">
            <v>ELECCIÓN</v>
          </cell>
          <cell r="Q4" t="str">
            <v>"</v>
          </cell>
          <cell r="R4" t="str">
            <v>, moments: [</v>
          </cell>
          <cell r="S4" t="str">
            <v>"</v>
          </cell>
          <cell r="T4" t="str">
            <v>Pascua</v>
          </cell>
          <cell r="U4" t="str">
            <v>", "</v>
          </cell>
          <cell r="V4" t="str">
            <v>Laudes/Visperas</v>
          </cell>
          <cell r="W4" t="str">
            <v>", "</v>
          </cell>
          <cell r="X4" t="str">
            <v>Entrada</v>
          </cell>
          <cell r="AE4" t="str">
            <v>"], url: "</v>
          </cell>
          <cell r="AF4" t="str">
            <v>/cantos/resucito/e/alacenadelcordero.html</v>
          </cell>
          <cell r="AG4" t="str">
            <v>/cantos/resucito/a/alacenadelcordero.html</v>
          </cell>
          <cell r="AH4" t="str">
            <v>"},</v>
          </cell>
          <cell r="AI4" t="str">
            <v>a</v>
          </cell>
          <cell r="AJ4" t="str">
            <v>e</v>
          </cell>
          <cell r="AK4" t="str">
            <v>{id:1,title: "alacenadelcorderoA la cena del Cordero", subtitle: "Himno lat. «Ad cenam Agni providi»", category: "ELECCIÓN", moments: ["Pascua", "Laudes/Visperas", "Entrada"], url: "/cantos/resucito/e/alacenadelcordero.html/cantos/resucito/a/alacenadelcordero.html"},</v>
          </cell>
          <cell r="AL4" t="str">
            <v>A LA CENA DEL CORDERO</v>
          </cell>
          <cell r="AM4" t="str">
            <v>alacenadelcordero</v>
          </cell>
          <cell r="AN4" t="str">
            <v>Himno lat. «Ad cenam Agni providi»</v>
          </cell>
          <cell r="AP4" t="str">
            <v>CANTO</v>
          </cell>
          <cell r="AQ4" t="str">
            <v>A LA CENA DEL CORDERO</v>
          </cell>
        </row>
        <row r="5">
          <cell r="A5">
            <v>1</v>
          </cell>
          <cell r="B5" t="str">
            <v>{id:</v>
          </cell>
          <cell r="C5">
            <v>2</v>
          </cell>
          <cell r="D5" t="str">
            <v>,</v>
          </cell>
          <cell r="E5" t="str">
            <v xml:space="preserve">title: </v>
          </cell>
          <cell r="F5" t="str">
            <v>"</v>
          </cell>
          <cell r="G5" t="str">
            <v>alavictimapascual</v>
          </cell>
          <cell r="H5" t="str">
            <v>A la víctima pascual</v>
          </cell>
          <cell r="I5" t="str">
            <v>",</v>
          </cell>
          <cell r="J5" t="str">
            <v xml:space="preserve"> subtitle: </v>
          </cell>
          <cell r="K5" t="str">
            <v>"</v>
          </cell>
          <cell r="L5" t="str">
            <v xml:space="preserve">Secuencia de Pascua - Himno lat. «Victimae paschall laudes» </v>
          </cell>
          <cell r="M5" t="str">
            <v xml:space="preserve">", </v>
          </cell>
          <cell r="N5" t="str">
            <v xml:space="preserve">category: </v>
          </cell>
          <cell r="O5" t="str">
            <v>"</v>
          </cell>
          <cell r="P5" t="str">
            <v>PRECATECUMENADO</v>
          </cell>
          <cell r="Q5" t="str">
            <v>"</v>
          </cell>
          <cell r="R5" t="str">
            <v>, moments: [</v>
          </cell>
          <cell r="S5" t="str">
            <v>"</v>
          </cell>
          <cell r="T5" t="str">
            <v>Pascua</v>
          </cell>
          <cell r="U5" t="str">
            <v>", "</v>
          </cell>
          <cell r="V5" t="str">
            <v>Pentecostés</v>
          </cell>
          <cell r="W5" t="str">
            <v>", "</v>
          </cell>
          <cell r="X5" t="str">
            <v>Entrada</v>
          </cell>
          <cell r="Y5" t="str">
            <v>", "</v>
          </cell>
          <cell r="Z5" t="str">
            <v>Comunión</v>
          </cell>
          <cell r="AA5" t="str">
            <v>", "</v>
          </cell>
          <cell r="AB5" t="str">
            <v>Final</v>
          </cell>
          <cell r="AC5" t="str">
            <v>", "</v>
          </cell>
          <cell r="AD5" t="str">
            <v>Nuevo Testamento</v>
          </cell>
          <cell r="AE5" t="str">
            <v>"], url: "</v>
          </cell>
          <cell r="AF5" t="str">
            <v>/cantos/resucito/a/alavictimapascual.html</v>
          </cell>
          <cell r="AG5" t="str">
            <v>/cantos/resucito/a/alavictimapascual.html</v>
          </cell>
          <cell r="AH5" t="str">
            <v>"},</v>
          </cell>
          <cell r="AI5" t="str">
            <v>a</v>
          </cell>
          <cell r="AJ5" t="str">
            <v>p</v>
          </cell>
          <cell r="AK5" t="str">
            <v>{id:2,title: "alavictimapascualA la víctima pascual", subtitle: "Secuencia de Pascua - Himno lat. «Victimae paschall laudes» ", category: "PRECATECUMENADO", moments: ["Pascua", "Pentecostés", "Entrada", "Comunión", "Final", "Nuevo Testamento"], url: "/cantos/resucito/a/alavictimapascual.html/cantos/resucito/a/alavictimapascual.html"},</v>
          </cell>
          <cell r="AL5" t="str">
            <v>A LA VÍCTIMA PASCUAL</v>
          </cell>
          <cell r="AM5" t="str">
            <v>alavíctimapascual</v>
          </cell>
          <cell r="AN5" t="str">
            <v xml:space="preserve">Secuencia de Pascua - Himno lat. «Victimae paschall laudes» </v>
          </cell>
          <cell r="AP5" t="str">
            <v>CANTO</v>
          </cell>
          <cell r="AQ5" t="str">
            <v>A LA VÍCTIMA PASCUAL</v>
          </cell>
        </row>
        <row r="6">
          <cell r="A6">
            <v>2</v>
          </cell>
          <cell r="B6" t="str">
            <v>{id:</v>
          </cell>
          <cell r="C6">
            <v>3</v>
          </cell>
          <cell r="D6" t="str">
            <v>,</v>
          </cell>
          <cell r="E6" t="str">
            <v xml:space="preserve">title: </v>
          </cell>
          <cell r="F6" t="str">
            <v>"</v>
          </cell>
          <cell r="G6" t="str">
            <v>anadiedemosocasiondetropiezo</v>
          </cell>
          <cell r="H6" t="str">
            <v>A nadie demos ocasión de tropiezo</v>
          </cell>
          <cell r="I6" t="str">
            <v>",</v>
          </cell>
          <cell r="J6" t="str">
            <v xml:space="preserve"> subtitle: </v>
          </cell>
          <cell r="K6" t="str">
            <v>"</v>
          </cell>
          <cell r="L6" t="str">
            <v>2ª Corintios 6,3ss</v>
          </cell>
          <cell r="M6" t="str">
            <v xml:space="preserve">", </v>
          </cell>
          <cell r="N6" t="str">
            <v xml:space="preserve">category: </v>
          </cell>
          <cell r="O6" t="str">
            <v>"</v>
          </cell>
          <cell r="P6" t="str">
            <v>PRECATECUMENADO</v>
          </cell>
          <cell r="Q6" t="str">
            <v>"</v>
          </cell>
          <cell r="R6" t="str">
            <v>, moments: [</v>
          </cell>
          <cell r="S6" t="str">
            <v>"</v>
          </cell>
          <cell r="T6" t="str">
            <v>Nuevo Testamento</v>
          </cell>
          <cell r="AE6" t="str">
            <v>"], url: "</v>
          </cell>
          <cell r="AF6" t="str">
            <v>/cantos/resucito/a/anadiedemosocasiondetropiezo.html</v>
          </cell>
          <cell r="AG6" t="str">
            <v>/cantos/resucito/a/anadiedemosocasiondetropiezo.html</v>
          </cell>
          <cell r="AH6" t="str">
            <v>"},</v>
          </cell>
          <cell r="AI6" t="str">
            <v>a</v>
          </cell>
          <cell r="AJ6" t="str">
            <v>p</v>
          </cell>
          <cell r="AK6" t="str">
            <v>{id:3,title: "anadiedemosocasiondetropiezoA nadie demos ocasión de tropiezo", subtitle: "2ª Corintios 6,3ss", category: "PRECATECUMENADO", moments: ["Nuevo Testamento"], url: "/cantos/resucito/a/anadiedemosocasiondetropiezo.html/cantos/resucito/a/anadiedemosocasiondetropiezo.html"},</v>
          </cell>
          <cell r="AL6" t="str">
            <v>A NADIE DEMOS OCASIÓN DE TROPIEZO</v>
          </cell>
          <cell r="AM6" t="str">
            <v>anadiedemosocasióndetropiezo</v>
          </cell>
          <cell r="AN6" t="str">
            <v>2ª Corintios 6,3ss</v>
          </cell>
          <cell r="AP6" t="str">
            <v>CANTO</v>
          </cell>
          <cell r="AQ6" t="str">
            <v>A NADIE DEMOS OCASIÓN DE TROPIEZO</v>
          </cell>
        </row>
        <row r="7">
          <cell r="A7">
            <v>3</v>
          </cell>
          <cell r="B7" t="str">
            <v>{id:</v>
          </cell>
          <cell r="C7">
            <v>4</v>
          </cell>
          <cell r="D7" t="str">
            <v>,</v>
          </cell>
          <cell r="E7" t="str">
            <v xml:space="preserve">title: </v>
          </cell>
          <cell r="F7" t="str">
            <v>"</v>
          </cell>
          <cell r="G7" t="str">
            <v>atilevantomisojos</v>
          </cell>
          <cell r="H7" t="str">
            <v>A ti levanto mis ojos</v>
          </cell>
          <cell r="I7" t="str">
            <v>",</v>
          </cell>
          <cell r="J7" t="str">
            <v xml:space="preserve"> subtitle: </v>
          </cell>
          <cell r="K7" t="str">
            <v>"</v>
          </cell>
          <cell r="L7" t="str">
            <v>Salmo 123 (122)</v>
          </cell>
          <cell r="M7" t="str">
            <v xml:space="preserve">", </v>
          </cell>
          <cell r="N7" t="str">
            <v xml:space="preserve">category: </v>
          </cell>
          <cell r="O7" t="str">
            <v>"</v>
          </cell>
          <cell r="P7" t="str">
            <v>PRECATECUMENADO</v>
          </cell>
          <cell r="Q7" t="str">
            <v>"</v>
          </cell>
          <cell r="R7" t="str">
            <v>, moments: [</v>
          </cell>
          <cell r="S7" t="str">
            <v>"</v>
          </cell>
          <cell r="T7" t="str">
            <v>Cuaresma</v>
          </cell>
          <cell r="U7" t="str">
            <v>", "</v>
          </cell>
          <cell r="V7" t="str">
            <v>Antiguo Testamento</v>
          </cell>
          <cell r="AE7" t="str">
            <v>"], url: "</v>
          </cell>
          <cell r="AF7" t="str">
            <v>/cantos/resucito/a/atilevantomisojos.html</v>
          </cell>
          <cell r="AG7" t="str">
            <v>/cantos/resucito/a/atilevantomisojos.html</v>
          </cell>
          <cell r="AH7" t="str">
            <v>"},</v>
          </cell>
          <cell r="AI7" t="str">
            <v>a</v>
          </cell>
          <cell r="AJ7" t="str">
            <v>p</v>
          </cell>
          <cell r="AK7" t="str">
            <v>{id:4,title: "atilevantomisojosA ti levanto mis ojos", subtitle: "Salmo 123 (122)", category: "PRECATECUMENADO", moments: ["Cuaresma", "Antiguo Testamento"], url: "/cantos/resucito/a/atilevantomisojos.html/cantos/resucito/a/atilevantomisojos.html"},</v>
          </cell>
          <cell r="AL7" t="str">
            <v>A TI LEVANTO MIS OJOS</v>
          </cell>
          <cell r="AM7" t="str">
            <v>atilevantomisojos</v>
          </cell>
          <cell r="AN7" t="str">
            <v>Salmo 123 (122)</v>
          </cell>
          <cell r="AP7" t="str">
            <v>CANTO</v>
          </cell>
          <cell r="AQ7" t="str">
            <v>A TI LEVANTO MIS OJOS</v>
          </cell>
        </row>
        <row r="8">
          <cell r="A8">
            <v>4</v>
          </cell>
          <cell r="B8" t="str">
            <v>{id:</v>
          </cell>
          <cell r="C8">
            <v>5</v>
          </cell>
          <cell r="D8" t="str">
            <v>,</v>
          </cell>
          <cell r="E8" t="str">
            <v xml:space="preserve">title: </v>
          </cell>
          <cell r="F8" t="str">
            <v>"</v>
          </cell>
          <cell r="G8" t="str">
            <v>atisenorenmiclamorimploro</v>
          </cell>
          <cell r="H8" t="str">
            <v>A ti, Señor, en mi clamor imploro</v>
          </cell>
          <cell r="I8" t="str">
            <v>",</v>
          </cell>
          <cell r="J8" t="str">
            <v xml:space="preserve"> subtitle: </v>
          </cell>
          <cell r="K8" t="str">
            <v>"</v>
          </cell>
          <cell r="L8" t="str">
            <v>Salmo 142 (141)</v>
          </cell>
          <cell r="M8" t="str">
            <v xml:space="preserve">", </v>
          </cell>
          <cell r="N8" t="str">
            <v xml:space="preserve">category: </v>
          </cell>
          <cell r="O8" t="str">
            <v>"</v>
          </cell>
          <cell r="P8" t="str">
            <v>PRECATECUMENADO</v>
          </cell>
          <cell r="Q8" t="str">
            <v>"</v>
          </cell>
          <cell r="R8" t="str">
            <v>, moments: [</v>
          </cell>
          <cell r="S8" t="str">
            <v>"</v>
          </cell>
          <cell r="T8" t="str">
            <v>Cuaresma</v>
          </cell>
          <cell r="U8" t="str">
            <v>", "</v>
          </cell>
          <cell r="V8" t="str">
            <v>Antiguo Testamento</v>
          </cell>
          <cell r="AE8" t="str">
            <v>"], url: "</v>
          </cell>
          <cell r="AF8" t="str">
            <v>/cantos/resucito/a/atisenorenmiclamorimploro.html</v>
          </cell>
          <cell r="AG8" t="str">
            <v>/cantos/resucito/a/atisenorenmiclamorimploro.html</v>
          </cell>
          <cell r="AH8" t="str">
            <v>"},</v>
          </cell>
          <cell r="AI8" t="str">
            <v>a</v>
          </cell>
          <cell r="AJ8" t="str">
            <v>p</v>
          </cell>
          <cell r="AK8" t="str">
            <v>{id:5,title: "atisenorenmiclamorimploroA ti, Señor, en mi clamor imploro", subtitle: "Salmo 142 (141)", category: "PRECATECUMENADO", moments: ["Cuaresma", "Antiguo Testamento"], url: "/cantos/resucito/a/atisenorenmiclamorimploro.html/cantos/resucito/a/atisenorenmiclamorimploro.html"},</v>
          </cell>
          <cell r="AL8" t="str">
            <v>A TI, SEÑOR, EN MI CLAMOR IMPLORO</v>
          </cell>
          <cell r="AM8" t="str">
            <v>ati,señor,enmiclamorimploro</v>
          </cell>
          <cell r="AN8" t="str">
            <v>Salmo 142 (141)</v>
          </cell>
          <cell r="AP8" t="str">
            <v>CANTO</v>
          </cell>
          <cell r="AQ8" t="str">
            <v>A TI, SEÑOR, EN MI CLAMOR IMPLORO</v>
          </cell>
        </row>
        <row r="9">
          <cell r="A9">
            <v>5</v>
          </cell>
          <cell r="B9" t="str">
            <v>{id:</v>
          </cell>
          <cell r="C9">
            <v>6</v>
          </cell>
          <cell r="D9" t="str">
            <v>,</v>
          </cell>
          <cell r="E9" t="str">
            <v xml:space="preserve">title: </v>
          </cell>
          <cell r="F9" t="str">
            <v>"</v>
          </cell>
          <cell r="G9" t="str">
            <v>atisenorlevantomialma</v>
          </cell>
          <cell r="H9" t="str">
            <v>A ti, Señor, levanto mi alma</v>
          </cell>
          <cell r="I9" t="str">
            <v>",</v>
          </cell>
          <cell r="J9" t="str">
            <v xml:space="preserve"> subtitle: </v>
          </cell>
          <cell r="K9" t="str">
            <v>"</v>
          </cell>
          <cell r="L9" t="str">
            <v>Salmo 25 (24)</v>
          </cell>
          <cell r="M9" t="str">
            <v xml:space="preserve">", </v>
          </cell>
          <cell r="N9" t="str">
            <v xml:space="preserve">category: </v>
          </cell>
          <cell r="O9" t="str">
            <v>"</v>
          </cell>
          <cell r="P9" t="str">
            <v>PRECATECUMENADO</v>
          </cell>
          <cell r="Q9" t="str">
            <v>"</v>
          </cell>
          <cell r="R9" t="str">
            <v>, moments: [</v>
          </cell>
          <cell r="S9" t="str">
            <v>"</v>
          </cell>
          <cell r="T9" t="str">
            <v>Cuaresma</v>
          </cell>
          <cell r="U9" t="str">
            <v>", "</v>
          </cell>
          <cell r="V9" t="str">
            <v>Antiguo Testamento</v>
          </cell>
          <cell r="AE9" t="str">
            <v>"], url: "</v>
          </cell>
          <cell r="AF9" t="str">
            <v>/cantos/resucito/a/atisenorlevantomialma.html</v>
          </cell>
          <cell r="AG9" t="str">
            <v>/cantos/resucito/a/atisenorlevantomialma.html</v>
          </cell>
          <cell r="AH9" t="str">
            <v>"},</v>
          </cell>
          <cell r="AI9" t="str">
            <v>a</v>
          </cell>
          <cell r="AJ9" t="str">
            <v>p</v>
          </cell>
          <cell r="AK9" t="str">
            <v>{id:6,title: "atisenorlevantomialmaA ti, Señor, levanto mi alma", subtitle: "Salmo 25 (24)", category: "PRECATECUMENADO", moments: ["Cuaresma", "Antiguo Testamento"], url: "/cantos/resucito/a/atisenorlevantomialma.html/cantos/resucito/a/atisenorlevantomialma.html"},</v>
          </cell>
          <cell r="AL9" t="str">
            <v>A TI, SEÑOR, LEVANTO MI ALMA</v>
          </cell>
          <cell r="AM9" t="str">
            <v>ati,señor,levantomialma</v>
          </cell>
          <cell r="AN9" t="str">
            <v>Salmo 25 (24)</v>
          </cell>
          <cell r="AP9" t="str">
            <v>CANTO</v>
          </cell>
          <cell r="AQ9" t="str">
            <v>A TI, SEÑOR, LEVANTO MI ALMA</v>
          </cell>
        </row>
        <row r="10">
          <cell r="A10">
            <v>6</v>
          </cell>
          <cell r="B10" t="str">
            <v>{id:</v>
          </cell>
          <cell r="C10">
            <v>7</v>
          </cell>
          <cell r="D10" t="str">
            <v>,</v>
          </cell>
          <cell r="E10" t="str">
            <v xml:space="preserve">title: </v>
          </cell>
          <cell r="F10" t="str">
            <v>"</v>
          </cell>
          <cell r="G10" t="str">
            <v>atisenorsedebelaalabanzaension</v>
          </cell>
          <cell r="H10" t="str">
            <v>A ti, Señor, se debe la alabanza en Sión</v>
          </cell>
          <cell r="I10" t="str">
            <v>",</v>
          </cell>
          <cell r="J10" t="str">
            <v xml:space="preserve"> subtitle: </v>
          </cell>
          <cell r="K10" t="str">
            <v>"</v>
          </cell>
          <cell r="L10" t="str">
            <v>Salmo 65 (64)</v>
          </cell>
          <cell r="M10" t="str">
            <v xml:space="preserve">", </v>
          </cell>
          <cell r="N10" t="str">
            <v xml:space="preserve">category: </v>
          </cell>
          <cell r="O10" t="str">
            <v>"</v>
          </cell>
          <cell r="P10" t="str">
            <v>PRECATECUMENADO</v>
          </cell>
          <cell r="Q10" t="str">
            <v>"</v>
          </cell>
          <cell r="R10" t="str">
            <v>, moments: [</v>
          </cell>
          <cell r="S10" t="str">
            <v>"</v>
          </cell>
          <cell r="T10" t="str">
            <v>Cuaresma</v>
          </cell>
          <cell r="U10" t="str">
            <v>", "</v>
          </cell>
          <cell r="V10" t="str">
            <v>Laudes/Visperas</v>
          </cell>
          <cell r="W10" t="str">
            <v>", "</v>
          </cell>
          <cell r="X10" t="str">
            <v>Antiguo Testamento</v>
          </cell>
          <cell r="AE10" t="str">
            <v>"], url: "</v>
          </cell>
          <cell r="AF10" t="str">
            <v>/cantos/resucito/a/atisenorsedebelaalabanzaension.html</v>
          </cell>
          <cell r="AG10" t="str">
            <v>/cantos/resucito/a/atisenorsedebelaalabanzaension.html</v>
          </cell>
          <cell r="AH10" t="str">
            <v>"},</v>
          </cell>
          <cell r="AI10" t="str">
            <v>a</v>
          </cell>
          <cell r="AJ10" t="str">
            <v>p</v>
          </cell>
          <cell r="AK10" t="str">
            <v>{id:7,title: "atisenorsedebelaalabanzaensionA ti, Señor, se debe la alabanza en Sión", subtitle: "Salmo 65 (64)", category: "PRECATECUMENADO", moments: ["Cuaresma", "Laudes/Visperas", "Antiguo Testamento"], url: "/cantos/resucito/a/atisenorsedebelaalabanzaension.html/cantos/resucito/a/atisenorsedebelaalabanzaension.html"},</v>
          </cell>
          <cell r="AL10" t="str">
            <v>A TI, SEÑOR, SE DEBE LA ALABANZA EN SIÓN</v>
          </cell>
          <cell r="AM10" t="str">
            <v>ati,señor,sedebelaalabanzaensión</v>
          </cell>
          <cell r="AN10" t="str">
            <v>Salmo 65 (64)</v>
          </cell>
          <cell r="AP10" t="str">
            <v>CANTO</v>
          </cell>
          <cell r="AQ10" t="str">
            <v>A TI, SEÑOR, SE DEBE LA ALABANZA EN SIÓN</v>
          </cell>
        </row>
        <row r="11">
          <cell r="A11">
            <v>7</v>
          </cell>
          <cell r="B11" t="str">
            <v>{id:</v>
          </cell>
          <cell r="C11">
            <v>8</v>
          </cell>
          <cell r="D11" t="str">
            <v>,</v>
          </cell>
          <cell r="E11" t="str">
            <v xml:space="preserve">title: </v>
          </cell>
          <cell r="F11" t="str">
            <v>"</v>
          </cell>
          <cell r="G11" t="str">
            <v>abbapadre</v>
          </cell>
          <cell r="H11" t="str">
            <v>Abbá, Padre</v>
          </cell>
          <cell r="I11" t="str">
            <v>",</v>
          </cell>
          <cell r="J11" t="str">
            <v xml:space="preserve"> subtitle: </v>
          </cell>
          <cell r="K11" t="str">
            <v>"</v>
          </cell>
          <cell r="L11" t="str">
            <v>Romanos 8,15–17</v>
          </cell>
          <cell r="M11" t="str">
            <v xml:space="preserve">", </v>
          </cell>
          <cell r="N11" t="str">
            <v xml:space="preserve">category: </v>
          </cell>
          <cell r="O11" t="str">
            <v>"</v>
          </cell>
          <cell r="P11" t="str">
            <v>PRECATECUMENADO</v>
          </cell>
          <cell r="Q11" t="str">
            <v>"</v>
          </cell>
          <cell r="R11" t="str">
            <v>, moments: [</v>
          </cell>
          <cell r="S11" t="str">
            <v>"</v>
          </cell>
          <cell r="T11" t="str">
            <v>Laudes/Visperas</v>
          </cell>
          <cell r="U11" t="str">
            <v>", "</v>
          </cell>
          <cell r="V11" t="str">
            <v>Comunión</v>
          </cell>
          <cell r="W11" t="str">
            <v>", "</v>
          </cell>
          <cell r="X11" t="str">
            <v>Nuevo Testamento</v>
          </cell>
          <cell r="AE11" t="str">
            <v>"], url: "</v>
          </cell>
          <cell r="AF11" t="str">
            <v>/cantos/resucito/a/abbapadre.html</v>
          </cell>
          <cell r="AG11" t="str">
            <v>/cantos/resucito/a/abbapadre.html</v>
          </cell>
          <cell r="AH11" t="str">
            <v>"},</v>
          </cell>
          <cell r="AI11" t="str">
            <v>a</v>
          </cell>
          <cell r="AJ11" t="str">
            <v>p</v>
          </cell>
          <cell r="AK11" t="str">
            <v>{id:8,title: "abbapadreAbbá, Padre", subtitle: "Romanos 8,15–17", category: "PRECATECUMENADO", moments: ["Laudes/Visperas", "Comunión", "Nuevo Testamento"], url: "/cantos/resucito/a/abbapadre.html/cantos/resucito/a/abbapadre.html"},</v>
          </cell>
          <cell r="AL11" t="str">
            <v>ABBÁ, PADRE</v>
          </cell>
          <cell r="AM11" t="str">
            <v>abbá,padre</v>
          </cell>
          <cell r="AN11" t="str">
            <v>Romanos 8,15–17</v>
          </cell>
          <cell r="AP11" t="str">
            <v>CANTO</v>
          </cell>
          <cell r="AQ11" t="str">
            <v>ABBÁ, PADRE</v>
          </cell>
        </row>
        <row r="12">
          <cell r="A12">
            <v>8</v>
          </cell>
          <cell r="B12" t="str">
            <v>{id:</v>
          </cell>
          <cell r="C12">
            <v>9</v>
          </cell>
          <cell r="D12" t="str">
            <v>,</v>
          </cell>
          <cell r="E12" t="str">
            <v xml:space="preserve">title: </v>
          </cell>
          <cell r="F12" t="str">
            <v>"</v>
          </cell>
          <cell r="G12" t="str">
            <v>abraham</v>
          </cell>
          <cell r="H12" t="str">
            <v>Abraham</v>
          </cell>
          <cell r="I12" t="str">
            <v>",</v>
          </cell>
          <cell r="J12" t="str">
            <v xml:space="preserve"> subtitle: </v>
          </cell>
          <cell r="K12" t="str">
            <v>"</v>
          </cell>
          <cell r="L12" t="str">
            <v>Génesis 18,1–5 – Teofanía de Mambré</v>
          </cell>
          <cell r="M12" t="str">
            <v xml:space="preserve">", </v>
          </cell>
          <cell r="N12" t="str">
            <v xml:space="preserve">category: </v>
          </cell>
          <cell r="O12" t="str">
            <v>"</v>
          </cell>
          <cell r="P12" t="str">
            <v>PRECATECUMENADO</v>
          </cell>
          <cell r="Q12" t="str">
            <v>"</v>
          </cell>
          <cell r="R12" t="str">
            <v>, moments: [</v>
          </cell>
          <cell r="S12" t="str">
            <v>"</v>
          </cell>
          <cell r="T12" t="str">
            <v>Laudes/Visperas</v>
          </cell>
          <cell r="U12" t="str">
            <v>", "</v>
          </cell>
          <cell r="V12" t="str">
            <v>Entrada</v>
          </cell>
          <cell r="W12" t="str">
            <v>", "</v>
          </cell>
          <cell r="X12" t="str">
            <v>Antiguo Testamento</v>
          </cell>
          <cell r="AE12" t="str">
            <v>"], url: "</v>
          </cell>
          <cell r="AF12" t="str">
            <v>/cantos/resucito/a/abraham.html</v>
          </cell>
          <cell r="AG12" t="str">
            <v>/cantos/resucito/a/abraham.html</v>
          </cell>
          <cell r="AH12" t="str">
            <v>"},</v>
          </cell>
          <cell r="AI12" t="str">
            <v>a</v>
          </cell>
          <cell r="AJ12" t="str">
            <v>p</v>
          </cell>
          <cell r="AK12" t="str">
            <v>{id:9,title: "abrahamAbraham", subtitle: "Génesis 18,1–5 – Teofanía de Mambré", category: "PRECATECUMENADO", moments: ["Laudes/Visperas", "Entrada", "Antiguo Testamento"], url: "/cantos/resucito/a/abraham.html/cantos/resucito/a/abraham.html"},</v>
          </cell>
          <cell r="AL12" t="str">
            <v>ABRAHAM</v>
          </cell>
          <cell r="AM12" t="str">
            <v>abraham</v>
          </cell>
          <cell r="AN12" t="str">
            <v>Génesis 18,1–5 – Teofanía de Mambré</v>
          </cell>
          <cell r="AP12" t="str">
            <v>CANTO</v>
          </cell>
          <cell r="AQ12" t="str">
            <v>ABRAHAM</v>
          </cell>
        </row>
        <row r="13">
          <cell r="A13">
            <v>179</v>
          </cell>
          <cell r="B13" t="str">
            <v>{id:</v>
          </cell>
          <cell r="C13">
            <v>10</v>
          </cell>
          <cell r="D13" t="str">
            <v>,</v>
          </cell>
          <cell r="E13" t="str">
            <v xml:space="preserve">title: </v>
          </cell>
          <cell r="F13" t="str">
            <v>"</v>
          </cell>
          <cell r="G13" t="str">
            <v>aclamacionesalaoraciondelosfieles</v>
          </cell>
          <cell r="H13" t="str">
            <v>Aclamaciones a la oración de los fieles</v>
          </cell>
          <cell r="I13" t="str">
            <v>",</v>
          </cell>
          <cell r="J13" t="str">
            <v xml:space="preserve"> subtitle: </v>
          </cell>
          <cell r="K13" t="str">
            <v>"</v>
          </cell>
          <cell r="L13" t="str">
            <v>Respuestas a las oraciones de los fieles, Modelo I, II, III, IV</v>
          </cell>
          <cell r="M13" t="str">
            <v xml:space="preserve">", </v>
          </cell>
          <cell r="N13" t="str">
            <v xml:space="preserve">category: </v>
          </cell>
          <cell r="O13" t="str">
            <v>"</v>
          </cell>
          <cell r="P13" t="str">
            <v>LITÚRGICOS</v>
          </cell>
          <cell r="Q13" t="str">
            <v>"</v>
          </cell>
          <cell r="R13" t="str">
            <v>, moments: [</v>
          </cell>
          <cell r="S13" t="str">
            <v>"</v>
          </cell>
          <cell r="T13" t="str">
            <v>Laudes/Visperas</v>
          </cell>
          <cell r="U13" t="str">
            <v>", "</v>
          </cell>
          <cell r="V13" t="str">
            <v>Final</v>
          </cell>
          <cell r="W13" t="str">
            <v>", "</v>
          </cell>
          <cell r="X13" t="str">
            <v>Antiguo Testamento</v>
          </cell>
          <cell r="AE13" t="str">
            <v>"], url: "</v>
          </cell>
          <cell r="AF13" t="str">
            <v>/cantos/resucito/a/aclamacionesalaoraciondelosfieles.html</v>
          </cell>
          <cell r="AG13" t="str">
            <v>/cantos/resucito/a/aclamacionesalaoraciondelosfieles.html</v>
          </cell>
          <cell r="AH13" t="str">
            <v>"},</v>
          </cell>
          <cell r="AI13" t="str">
            <v>a</v>
          </cell>
          <cell r="AJ13" t="str">
            <v>l</v>
          </cell>
          <cell r="AK13" t="str">
            <v>{id:10,title: "aclamacionesalaoraciondelosfielesAclamaciones a la oración de los fieles", subtitle: "Respuestas a las oraciones de los fieles, Modelo I, II, III, IV", category: "LITÚRGICOS", moments: ["Laudes/Visperas", "Final", "Antiguo Testamento"], url: "/cantos/resucito/a/aclamacionesalaoraciondelosfieles.html/cantos/resucito/a/aclamacionesalaoraciondelosfieles.html"},</v>
          </cell>
          <cell r="AL13" t="str">
            <v>ACLAMACIONES A LA ORACIÓN DE LOS FIELES</v>
          </cell>
          <cell r="AM13" t="str">
            <v>aclamacionesalaoracióndelosfieles</v>
          </cell>
          <cell r="AN13" t="str">
            <v>Respuestas a las oraciones de los fieles, Modelo I, II, III, IV</v>
          </cell>
          <cell r="AP13" t="str">
            <v>CANTO</v>
          </cell>
          <cell r="AQ13" t="str">
            <v>ACLAMACIONES A LA ORACIÓN DE LOS FIELES</v>
          </cell>
        </row>
        <row r="14">
          <cell r="A14">
            <v>9</v>
          </cell>
          <cell r="B14" t="str">
            <v>{id:</v>
          </cell>
          <cell r="C14">
            <v>11</v>
          </cell>
          <cell r="D14" t="str">
            <v>,</v>
          </cell>
          <cell r="E14" t="str">
            <v xml:space="preserve">title: </v>
          </cell>
          <cell r="F14" t="str">
            <v>"</v>
          </cell>
          <cell r="G14" t="str">
            <v>aclamadalsenor</v>
          </cell>
          <cell r="H14" t="str">
            <v>Aclamad al Señor</v>
          </cell>
          <cell r="I14" t="str">
            <v>",</v>
          </cell>
          <cell r="J14" t="str">
            <v xml:space="preserve"> subtitle: </v>
          </cell>
          <cell r="K14" t="str">
            <v>"</v>
          </cell>
          <cell r="L14" t="str">
            <v>Salmo 100 (99)</v>
          </cell>
          <cell r="M14" t="str">
            <v xml:space="preserve">", </v>
          </cell>
          <cell r="N14" t="str">
            <v xml:space="preserve">category: </v>
          </cell>
          <cell r="O14" t="str">
            <v>"</v>
          </cell>
          <cell r="P14" t="str">
            <v>PRECATECUMENADO</v>
          </cell>
          <cell r="Q14" t="str">
            <v>"</v>
          </cell>
          <cell r="R14" t="str">
            <v>, moments: [</v>
          </cell>
          <cell r="S14" t="str">
            <v>"</v>
          </cell>
          <cell r="T14" t="str">
            <v>Pascua</v>
          </cell>
          <cell r="AE14" t="str">
            <v>"], url: "</v>
          </cell>
          <cell r="AF14" t="str">
            <v>/cantos/resucito/a/aclamadalsenor.html</v>
          </cell>
          <cell r="AG14" t="str">
            <v>/cantos/resucito/a/aclamadalsenor.html</v>
          </cell>
          <cell r="AH14" t="str">
            <v>"},</v>
          </cell>
          <cell r="AI14" t="str">
            <v>a</v>
          </cell>
          <cell r="AJ14" t="str">
            <v>p</v>
          </cell>
          <cell r="AK14" t="str">
            <v>{id:11,title: "aclamadalsenorAclamad al Señor", subtitle: "Salmo 100 (99)", category: "PRECATECUMENADO", moments: ["Pascua"], url: "/cantos/resucito/a/aclamadalsenor.html/cantos/resucito/a/aclamadalsenor.html"},</v>
          </cell>
          <cell r="AL14" t="str">
            <v>ACLAMAD AL SEÑOR</v>
          </cell>
          <cell r="AM14" t="str">
            <v>aclamadalseñor</v>
          </cell>
          <cell r="AN14" t="str">
            <v>Salmo 100 (99)</v>
          </cell>
          <cell r="AP14" t="str">
            <v>CANTO</v>
          </cell>
          <cell r="AQ14" t="str">
            <v>ACLAMAD AL SEÑOR</v>
          </cell>
        </row>
        <row r="15">
          <cell r="A15">
            <v>238</v>
          </cell>
          <cell r="B15" t="str">
            <v>{id:</v>
          </cell>
          <cell r="C15">
            <v>12</v>
          </cell>
          <cell r="D15" t="str">
            <v>,</v>
          </cell>
          <cell r="E15" t="str">
            <v xml:space="preserve">title: </v>
          </cell>
          <cell r="F15" t="str">
            <v>"</v>
          </cell>
          <cell r="G15" t="str">
            <v>adondeteescondisteamado</v>
          </cell>
          <cell r="H15" t="str">
            <v>Adónde te escondiste, Amado</v>
          </cell>
          <cell r="I15" t="str">
            <v>",</v>
          </cell>
          <cell r="J15" t="str">
            <v xml:space="preserve"> subtitle: </v>
          </cell>
          <cell r="K15" t="str">
            <v>"</v>
          </cell>
          <cell r="L15" t="str">
            <v xml:space="preserve">Cántico espiritual (San Juan de la Cruz) </v>
          </cell>
          <cell r="M15" t="str">
            <v xml:space="preserve">", </v>
          </cell>
          <cell r="N15" t="str">
            <v xml:space="preserve">category: </v>
          </cell>
          <cell r="O15" t="str">
            <v>"</v>
          </cell>
          <cell r="P15" t="str">
            <v>ELECCIÓN</v>
          </cell>
          <cell r="Q15" t="str">
            <v>"</v>
          </cell>
          <cell r="R15" t="str">
            <v>, moments: [</v>
          </cell>
          <cell r="S15" t="str">
            <v>"</v>
          </cell>
          <cell r="T15" t="str">
            <v>Cuaresma</v>
          </cell>
          <cell r="U15" t="str">
            <v>", "</v>
          </cell>
          <cell r="V15" t="str">
            <v>Laudes/Visperas</v>
          </cell>
          <cell r="W15" t="str">
            <v>", "</v>
          </cell>
          <cell r="X15" t="str">
            <v>Antiguo Testamento</v>
          </cell>
          <cell r="AE15" t="str">
            <v>"], url: "</v>
          </cell>
          <cell r="AF15" t="str">
            <v>/cantos/resucito/a/adondeteescondisteamado.html</v>
          </cell>
          <cell r="AG15" t="str">
            <v>/cantos/resucito/a/adondeteescondisteamado.html</v>
          </cell>
          <cell r="AH15" t="str">
            <v>"},</v>
          </cell>
          <cell r="AI15" t="str">
            <v>a</v>
          </cell>
          <cell r="AJ15" t="str">
            <v>e</v>
          </cell>
          <cell r="AK15" t="str">
            <v>{id:12,title: "adondeteescondisteamadoAdónde te escondiste, Amado", subtitle: "Cántico espiritual (San Juan de la Cruz) ", category: "ELECCIÓN", moments: ["Cuaresma", "Laudes/Visperas", "Antiguo Testamento"], url: "/cantos/resucito/a/adondeteescondisteamado.html/cantos/resucito/a/adondeteescondisteamado.html"},</v>
          </cell>
          <cell r="AL15" t="str">
            <v>ADÓNDE TE ESCONDISTE, AMADO</v>
          </cell>
          <cell r="AM15" t="str">
            <v>adóndeteescondiste,amado</v>
          </cell>
          <cell r="AN15" t="str">
            <v xml:space="preserve">Cántico espiritual (San Juan de la Cruz) </v>
          </cell>
          <cell r="AP15" t="str">
            <v>CANTO</v>
          </cell>
          <cell r="AQ15" t="str">
            <v>ADÓNDE TE ESCONDISTE, AMADO</v>
          </cell>
        </row>
        <row r="16">
          <cell r="A16">
            <v>10</v>
          </cell>
          <cell r="B16" t="str">
            <v>{id:</v>
          </cell>
          <cell r="C16">
            <v>13</v>
          </cell>
          <cell r="D16" t="str">
            <v>,</v>
          </cell>
          <cell r="E16" t="str">
            <v xml:space="preserve">title: </v>
          </cell>
          <cell r="F16" t="str">
            <v>"</v>
          </cell>
          <cell r="G16" t="str">
            <v>aldespertar</v>
          </cell>
          <cell r="H16" t="str">
            <v>Al despertar</v>
          </cell>
          <cell r="I16" t="str">
            <v>",</v>
          </cell>
          <cell r="J16" t="str">
            <v xml:space="preserve"> subtitle: </v>
          </cell>
          <cell r="K16" t="str">
            <v>"</v>
          </cell>
          <cell r="L16" t="str">
            <v xml:space="preserve">Salmo 17 (16) </v>
          </cell>
          <cell r="M16" t="str">
            <v xml:space="preserve">", </v>
          </cell>
          <cell r="N16" t="str">
            <v xml:space="preserve">category: </v>
          </cell>
          <cell r="O16" t="str">
            <v>"</v>
          </cell>
          <cell r="P16" t="str">
            <v>PRECATECUMENADO</v>
          </cell>
          <cell r="Q16" t="str">
            <v>"</v>
          </cell>
          <cell r="R16" t="str">
            <v>, moments: [</v>
          </cell>
          <cell r="S16" t="str">
            <v>"</v>
          </cell>
          <cell r="T16" t="str">
            <v>Laudes/Visperas</v>
          </cell>
          <cell r="U16" t="str">
            <v>", "</v>
          </cell>
          <cell r="V16" t="str">
            <v>Antiguo Testamento</v>
          </cell>
          <cell r="AE16" t="str">
            <v>"], url: "</v>
          </cell>
          <cell r="AF16" t="str">
            <v>/cantos/resucito/a/aldespertar.html</v>
          </cell>
          <cell r="AG16" t="str">
            <v>/cantos/resucito/a/aldespertar.html</v>
          </cell>
          <cell r="AH16" t="str">
            <v>"},</v>
          </cell>
          <cell r="AI16" t="str">
            <v>a</v>
          </cell>
          <cell r="AJ16" t="str">
            <v>p</v>
          </cell>
          <cell r="AK16" t="str">
            <v>{id:13,title: "aldespertarAl despertar", subtitle: "Salmo 17 (16) ", category: "PRECATECUMENADO", moments: ["Laudes/Visperas", "Antiguo Testamento"], url: "/cantos/resucito/a/aldespertar.html/cantos/resucito/a/aldespertar.html"},</v>
          </cell>
          <cell r="AL16" t="str">
            <v>AL DESPERTAR</v>
          </cell>
          <cell r="AM16" t="str">
            <v>aldespertar</v>
          </cell>
          <cell r="AN16" t="str">
            <v xml:space="preserve">Salmo 17 (16) </v>
          </cell>
          <cell r="AP16" t="str">
            <v>CANTO</v>
          </cell>
          <cell r="AQ16" t="str">
            <v>AL DESPERTAR</v>
          </cell>
        </row>
        <row r="17">
          <cell r="A17">
            <v>11</v>
          </cell>
          <cell r="B17" t="str">
            <v>{id:</v>
          </cell>
          <cell r="C17">
            <v>14</v>
          </cell>
          <cell r="D17" t="str">
            <v>,</v>
          </cell>
          <cell r="E17" t="str">
            <v xml:space="preserve">title: </v>
          </cell>
          <cell r="F17" t="str">
            <v>"</v>
          </cell>
          <cell r="G17" t="str">
            <v>alabadalsenorenelcielo</v>
          </cell>
          <cell r="H17" t="str">
            <v>Alabad al Señor en el cielo</v>
          </cell>
          <cell r="I17" t="str">
            <v>",</v>
          </cell>
          <cell r="J17" t="str">
            <v xml:space="preserve"> subtitle: </v>
          </cell>
          <cell r="K17" t="str">
            <v>"</v>
          </cell>
          <cell r="L17" t="str">
            <v xml:space="preserve">Salmo 148 </v>
          </cell>
          <cell r="M17" t="str">
            <v xml:space="preserve">", </v>
          </cell>
          <cell r="N17" t="str">
            <v xml:space="preserve">category: </v>
          </cell>
          <cell r="O17" t="str">
            <v>"</v>
          </cell>
          <cell r="P17" t="str">
            <v>PRECATECUMENADO</v>
          </cell>
          <cell r="Q17" t="str">
            <v>"</v>
          </cell>
          <cell r="R17" t="str">
            <v>, moments: [</v>
          </cell>
          <cell r="S17" t="str">
            <v>"</v>
          </cell>
          <cell r="T17" t="str">
            <v>Navidad</v>
          </cell>
          <cell r="U17" t="str">
            <v>", "</v>
          </cell>
          <cell r="V17" t="str">
            <v>Niños</v>
          </cell>
          <cell r="AE17" t="str">
            <v>"], url: "</v>
          </cell>
          <cell r="AF17" t="str">
            <v>/cantos/resucito/a/alabadalsenorenelcielo.html</v>
          </cell>
          <cell r="AG17" t="str">
            <v>/cantos/resucito/a/alabadalsenorenelcielo.html</v>
          </cell>
          <cell r="AH17" t="str">
            <v>"},</v>
          </cell>
          <cell r="AI17" t="str">
            <v>a</v>
          </cell>
          <cell r="AJ17" t="str">
            <v>p</v>
          </cell>
          <cell r="AK17" t="str">
            <v>{id:14,title: "alabadalsenorenelcieloAlabad al Señor en el cielo", subtitle: "Salmo 148 ", category: "PRECATECUMENADO", moments: ["Navidad", "Niños"], url: "/cantos/resucito/a/alabadalsenorenelcielo.html/cantos/resucito/a/alabadalsenorenelcielo.html"},</v>
          </cell>
          <cell r="AL17" t="str">
            <v>ALABAD AL SEÑOR EN EL CIELO</v>
          </cell>
          <cell r="AM17" t="str">
            <v>alabadalseñorenelcielo</v>
          </cell>
          <cell r="AN17" t="str">
            <v xml:space="preserve">Salmo 148 </v>
          </cell>
          <cell r="AP17" t="str">
            <v>CANTO</v>
          </cell>
          <cell r="AQ17" t="str">
            <v>ALABAD AL SEÑOR EN EL CIELO</v>
          </cell>
        </row>
        <row r="18">
          <cell r="A18">
            <v>12</v>
          </cell>
          <cell r="B18" t="str">
            <v>{id:</v>
          </cell>
          <cell r="C18">
            <v>15</v>
          </cell>
          <cell r="D18" t="str">
            <v>,</v>
          </cell>
          <cell r="E18" t="str">
            <v xml:space="preserve">title: </v>
          </cell>
          <cell r="F18" t="str">
            <v>"</v>
          </cell>
          <cell r="G18" t="str">
            <v>alegriahanacidoelsalvador</v>
          </cell>
          <cell r="H18" t="str">
            <v>Alegría, ha nacido el salvador</v>
          </cell>
          <cell r="I18" t="str">
            <v>",</v>
          </cell>
          <cell r="J18" t="str">
            <v xml:space="preserve"> subtitle: </v>
          </cell>
          <cell r="K18" t="str">
            <v>"</v>
          </cell>
          <cell r="L18" t="str">
            <v>Villancico (Kiko Argüello)</v>
          </cell>
          <cell r="M18" t="str">
            <v xml:space="preserve">", </v>
          </cell>
          <cell r="N18" t="str">
            <v xml:space="preserve">category: </v>
          </cell>
          <cell r="O18" t="str">
            <v>"</v>
          </cell>
          <cell r="P18" t="str">
            <v>PRECATECUMENADO</v>
          </cell>
          <cell r="Q18" t="str">
            <v>"</v>
          </cell>
          <cell r="R18" t="str">
            <v>, moments: [</v>
          </cell>
          <cell r="S18" t="str">
            <v>"</v>
          </cell>
          <cell r="T18" t="str">
            <v>Adviento</v>
          </cell>
          <cell r="U18" t="str">
            <v>", "</v>
          </cell>
          <cell r="V18" t="str">
            <v>Navidad</v>
          </cell>
          <cell r="W18" t="str">
            <v>", "</v>
          </cell>
          <cell r="X18" t="str">
            <v>Ordinario</v>
          </cell>
          <cell r="AE18" t="str">
            <v>"], url: "</v>
          </cell>
          <cell r="AF18" t="str">
            <v>/cantos/resucito/a/alegriahanacidoelsalvador.html</v>
          </cell>
          <cell r="AG18" t="str">
            <v>/cantos/resucito/a/alegriahanacidoelsalvador.html</v>
          </cell>
          <cell r="AH18" t="str">
            <v>"},</v>
          </cell>
          <cell r="AI18" t="str">
            <v>a</v>
          </cell>
          <cell r="AJ18" t="str">
            <v>p</v>
          </cell>
          <cell r="AK18" t="str">
            <v>{id:15,title: "alegriahanacidoelsalvadorAlegría, ha nacido el salvador", subtitle: "Villancico (Kiko Argüello)", category: "PRECATECUMENADO", moments: ["Adviento", "Navidad", "Ordinario"], url: "/cantos/resucito/a/alegriahanacidoelsalvador.html/cantos/resucito/a/alegriahanacidoelsalvador.html"},</v>
          </cell>
          <cell r="AL18" t="str">
            <v>ALEGRÍA, HA NACIDO EL SALVADOR</v>
          </cell>
          <cell r="AM18" t="str">
            <v>alegría,hanacidoelsalvador</v>
          </cell>
          <cell r="AN18" t="str">
            <v>Villancico (Kiko Argüello)</v>
          </cell>
          <cell r="AP18" t="str">
            <v>CANTO</v>
          </cell>
          <cell r="AQ18" t="str">
            <v>ALEGRÍA, HA NACIDO EL SALVADOR</v>
          </cell>
        </row>
        <row r="19">
          <cell r="A19">
            <v>180</v>
          </cell>
          <cell r="B19" t="str">
            <v>{id:</v>
          </cell>
          <cell r="C19">
            <v>16</v>
          </cell>
          <cell r="D19" t="str">
            <v>,</v>
          </cell>
          <cell r="E19" t="str">
            <v xml:space="preserve">title: </v>
          </cell>
          <cell r="F19" t="str">
            <v>"</v>
          </cell>
          <cell r="G19" t="str">
            <v>aleluyainterleccional</v>
          </cell>
          <cell r="H19" t="str">
            <v>Aleluya interleccional</v>
          </cell>
          <cell r="I19" t="str">
            <v>",</v>
          </cell>
          <cell r="J19" t="str">
            <v xml:space="preserve"> subtitle: </v>
          </cell>
          <cell r="K19" t="str">
            <v>"</v>
          </cell>
          <cell r="L19" t="str">
            <v>Modelo I, II, III</v>
          </cell>
          <cell r="M19" t="str">
            <v xml:space="preserve">", </v>
          </cell>
          <cell r="N19" t="str">
            <v xml:space="preserve">category: </v>
          </cell>
          <cell r="O19" t="str">
            <v>"</v>
          </cell>
          <cell r="P19" t="str">
            <v>LITÚRGICOS</v>
          </cell>
          <cell r="Q19" t="str">
            <v>"</v>
          </cell>
          <cell r="R19" t="str">
            <v>, moments: [</v>
          </cell>
          <cell r="S19" t="str">
            <v>"</v>
          </cell>
          <cell r="T19" t="str">
            <v>Pascua</v>
          </cell>
          <cell r="AE19" t="str">
            <v>"], url: "</v>
          </cell>
          <cell r="AF19" t="str">
            <v>/cantos/resucito/a/aleluyainterleccional.html</v>
          </cell>
          <cell r="AG19" t="str">
            <v>/cantos/resucito/a/aleluyainterleccional.html</v>
          </cell>
          <cell r="AH19" t="str">
            <v>"},</v>
          </cell>
          <cell r="AI19" t="str">
            <v>a</v>
          </cell>
          <cell r="AJ19" t="str">
            <v>l</v>
          </cell>
          <cell r="AK19" t="str">
            <v>{id:16,title: "aleluyainterleccionalAleluya interleccional", subtitle: "Modelo I, II, III", category: "LITÚRGICOS", moments: ["Pascua"], url: "/cantos/resucito/a/aleluyainterleccional.html/cantos/resucito/a/aleluyainterleccional.html"},</v>
          </cell>
          <cell r="AL19" t="str">
            <v>ALELUYA INTERLECCIONAL</v>
          </cell>
          <cell r="AM19" t="str">
            <v>aleluyainterleccional</v>
          </cell>
          <cell r="AN19" t="str">
            <v>Modelo I, II, III</v>
          </cell>
          <cell r="AP19" t="str">
            <v>CANTO</v>
          </cell>
          <cell r="AQ19" t="str">
            <v>ALELUYA INTERLECCIONAL</v>
          </cell>
        </row>
        <row r="20">
          <cell r="A20">
            <v>181</v>
          </cell>
          <cell r="B20" t="str">
            <v>{id:</v>
          </cell>
          <cell r="C20">
            <v>17</v>
          </cell>
          <cell r="D20" t="str">
            <v>,</v>
          </cell>
          <cell r="E20" t="str">
            <v xml:space="preserve">title: </v>
          </cell>
          <cell r="F20" t="str">
            <v>"</v>
          </cell>
          <cell r="G20" t="str">
            <v>aleluyapascual</v>
          </cell>
          <cell r="H20" t="str">
            <v>Aleluya pascual</v>
          </cell>
          <cell r="I20" t="str">
            <v>",</v>
          </cell>
          <cell r="J20" t="str">
            <v xml:space="preserve"> subtitle: </v>
          </cell>
          <cell r="K20" t="str">
            <v>"</v>
          </cell>
          <cell r="L20" t="str">
            <v>Apropiado para el tiempo Pascual</v>
          </cell>
          <cell r="M20" t="str">
            <v xml:space="preserve">", </v>
          </cell>
          <cell r="N20" t="str">
            <v xml:space="preserve">category: </v>
          </cell>
          <cell r="O20" t="str">
            <v>"</v>
          </cell>
          <cell r="P20" t="str">
            <v>LITÚRGICOS</v>
          </cell>
          <cell r="Q20" t="str">
            <v>"</v>
          </cell>
          <cell r="R20" t="str">
            <v>, moments: [</v>
          </cell>
          <cell r="S20" t="str">
            <v>"</v>
          </cell>
          <cell r="T20" t="str">
            <v>Pascua</v>
          </cell>
          <cell r="U20" t="str">
            <v>", "</v>
          </cell>
          <cell r="V20" t="str">
            <v>Laudes/Visperas</v>
          </cell>
          <cell r="W20" t="str">
            <v>", "</v>
          </cell>
          <cell r="X20" t="str">
            <v>Final</v>
          </cell>
          <cell r="Y20" t="str">
            <v>", "</v>
          </cell>
          <cell r="Z20" t="str">
            <v>Antiguo Testamento</v>
          </cell>
          <cell r="AE20" t="str">
            <v>"], url: "</v>
          </cell>
          <cell r="AF20" t="str">
            <v>/cantos/resucito/a/aleluyapascual.html</v>
          </cell>
          <cell r="AG20" t="str">
            <v>/cantos/resucito/a/aleluyapascual.html</v>
          </cell>
          <cell r="AH20" t="str">
            <v>"},</v>
          </cell>
          <cell r="AI20" t="str">
            <v>a</v>
          </cell>
          <cell r="AJ20" t="str">
            <v>l</v>
          </cell>
          <cell r="AK20" t="str">
            <v>{id:17,title: "aleluyapascualAleluya pascual", subtitle: "Apropiado para el tiempo Pascual", category: "LITÚRGICOS", moments: ["Pascua", "Laudes/Visperas", "Final", "Antiguo Testamento"], url: "/cantos/resucito/a/aleluyapascual.html/cantos/resucito/a/aleluyapascual.html"},</v>
          </cell>
          <cell r="AL20" t="str">
            <v>ALELUYA PASCUAL</v>
          </cell>
          <cell r="AM20" t="str">
            <v>aleluyapascual</v>
          </cell>
          <cell r="AN20" t="str">
            <v>Apropiado para el tiempo Pascual</v>
          </cell>
          <cell r="AP20" t="str">
            <v>CANTO</v>
          </cell>
          <cell r="AQ20" t="str">
            <v>ALELUYA PASCUAL</v>
          </cell>
        </row>
        <row r="21">
          <cell r="A21">
            <v>13</v>
          </cell>
          <cell r="B21" t="str">
            <v>{id:</v>
          </cell>
          <cell r="C21">
            <v>18</v>
          </cell>
          <cell r="D21" t="str">
            <v>,</v>
          </cell>
          <cell r="E21" t="str">
            <v xml:space="preserve">title: </v>
          </cell>
          <cell r="F21" t="str">
            <v>"</v>
          </cell>
          <cell r="G21" t="str">
            <v>aleluyaalabadalsenor</v>
          </cell>
          <cell r="H21" t="str">
            <v>Aleluya, alabad al Señor</v>
          </cell>
          <cell r="I21" t="str">
            <v>",</v>
          </cell>
          <cell r="J21" t="str">
            <v xml:space="preserve"> subtitle: </v>
          </cell>
          <cell r="K21" t="str">
            <v>"</v>
          </cell>
          <cell r="L21" t="str">
            <v>Salmo 150</v>
          </cell>
          <cell r="M21" t="str">
            <v xml:space="preserve">", </v>
          </cell>
          <cell r="N21" t="str">
            <v xml:space="preserve">category: </v>
          </cell>
          <cell r="O21" t="str">
            <v>"</v>
          </cell>
          <cell r="P21" t="str">
            <v>PRECATECUMENADO</v>
          </cell>
          <cell r="Q21" t="str">
            <v>"</v>
          </cell>
          <cell r="R21" t="str">
            <v>, moments: [</v>
          </cell>
          <cell r="S21" t="str">
            <v>"</v>
          </cell>
          <cell r="T21" t="str">
            <v>Pascua</v>
          </cell>
          <cell r="U21" t="str">
            <v>", "</v>
          </cell>
          <cell r="V21" t="str">
            <v>Niños</v>
          </cell>
          <cell r="W21" t="str">
            <v>", "</v>
          </cell>
          <cell r="X21" t="str">
            <v>Paz</v>
          </cell>
          <cell r="Y21" t="str">
            <v>", "</v>
          </cell>
          <cell r="Z21" t="str">
            <v>Antiguo Testamento</v>
          </cell>
          <cell r="AE21" t="str">
            <v>"], url: "</v>
          </cell>
          <cell r="AF21" t="str">
            <v>/cantos/resucito/a/aleluyaalabadalsenor.html</v>
          </cell>
          <cell r="AG21" t="str">
            <v>/cantos/resucito/a/aleluyaalabadalsenor.html</v>
          </cell>
          <cell r="AH21" t="str">
            <v>"},</v>
          </cell>
          <cell r="AI21" t="str">
            <v>a</v>
          </cell>
          <cell r="AJ21" t="str">
            <v>p</v>
          </cell>
          <cell r="AK21" t="str">
            <v>{id:18,title: "aleluyaalabadalsenorAleluya, alabad al Señor", subtitle: "Salmo 150", category: "PRECATECUMENADO", moments: ["Pascua", "Niños", "Paz", "Antiguo Testamento"], url: "/cantos/resucito/a/aleluyaalabadalsenor.html/cantos/resucito/a/aleluyaalabadalsenor.html"},</v>
          </cell>
          <cell r="AL21" t="str">
            <v>ALELUYA, ALABAD AL SEÑOR</v>
          </cell>
          <cell r="AM21" t="str">
            <v>aleluya,alabadalseñor</v>
          </cell>
          <cell r="AN21" t="str">
            <v>Salmo 150</v>
          </cell>
          <cell r="AP21" t="str">
            <v>CANTO</v>
          </cell>
          <cell r="AQ21" t="str">
            <v>ALELUYA, ALABAD AL SEÑOR</v>
          </cell>
        </row>
        <row r="22">
          <cell r="A22">
            <v>14</v>
          </cell>
          <cell r="B22" t="str">
            <v>{id:</v>
          </cell>
          <cell r="C22">
            <v>19</v>
          </cell>
          <cell r="D22" t="str">
            <v>,</v>
          </cell>
          <cell r="E22" t="str">
            <v xml:space="preserve">title: </v>
          </cell>
          <cell r="F22" t="str">
            <v>"</v>
          </cell>
          <cell r="G22" t="str">
            <v>aleluyabendecidalsenor</v>
          </cell>
          <cell r="H22" t="str">
            <v>Aleluya, bendecid al Señor</v>
          </cell>
          <cell r="I22" t="str">
            <v>",</v>
          </cell>
          <cell r="J22" t="str">
            <v xml:space="preserve"> subtitle: </v>
          </cell>
          <cell r="K22" t="str">
            <v>"</v>
          </cell>
          <cell r="L22" t="str">
            <v>Salmo 1.34 (1.33) - Melodía hebraica</v>
          </cell>
          <cell r="M22" t="str">
            <v xml:space="preserve">", </v>
          </cell>
          <cell r="N22" t="str">
            <v xml:space="preserve">category: </v>
          </cell>
          <cell r="O22" t="str">
            <v>"</v>
          </cell>
          <cell r="P22" t="str">
            <v>PRECATECUMENADO</v>
          </cell>
          <cell r="Q22" t="str">
            <v>"</v>
          </cell>
          <cell r="R22" t="str">
            <v>, moments: [</v>
          </cell>
          <cell r="S22" t="str">
            <v>"</v>
          </cell>
          <cell r="T22" t="str">
            <v>Laudes/Visperas</v>
          </cell>
          <cell r="U22" t="str">
            <v>", "</v>
          </cell>
          <cell r="V22" t="str">
            <v>Comunión</v>
          </cell>
          <cell r="W22" t="str">
            <v>", "</v>
          </cell>
          <cell r="X22" t="str">
            <v>Nuevo Testamento</v>
          </cell>
          <cell r="AE22" t="str">
            <v>"], url: "</v>
          </cell>
          <cell r="AF22" t="str">
            <v>/cantos/resucito/a/aleluyabendecidalsenor.html</v>
          </cell>
          <cell r="AG22" t="str">
            <v>/cantos/resucito/a/aleluyabendecidalsenor.html</v>
          </cell>
          <cell r="AH22" t="str">
            <v>"},</v>
          </cell>
          <cell r="AI22" t="str">
            <v>a</v>
          </cell>
          <cell r="AJ22" t="str">
            <v>p</v>
          </cell>
          <cell r="AK22" t="str">
            <v>{id:19,title: "aleluyabendecidalsenorAleluya, bendecid al Señor", subtitle: "Salmo 1.34 (1.33) - Melodía hebraica", category: "PRECATECUMENADO", moments: ["Laudes/Visperas", "Comunión", "Nuevo Testamento"], url: "/cantos/resucito/a/aleluyabendecidalsenor.html/cantos/resucito/a/aleluyabendecidalsenor.html"},</v>
          </cell>
          <cell r="AL22" t="str">
            <v>ALELUYA, BENDECID AL SEÑOR</v>
          </cell>
          <cell r="AM22" t="str">
            <v>aleluya,bendecidalseñor</v>
          </cell>
          <cell r="AN22" t="str">
            <v>Salmo 1.34 (1.33) - Melodía hebraica</v>
          </cell>
          <cell r="AP22" t="str">
            <v>CANTO</v>
          </cell>
          <cell r="AQ22" t="str">
            <v>ALELUYA, BENDECID AL SEÑOR</v>
          </cell>
        </row>
        <row r="23">
          <cell r="A23">
            <v>15</v>
          </cell>
          <cell r="B23" t="str">
            <v>{id:</v>
          </cell>
          <cell r="C23">
            <v>20</v>
          </cell>
          <cell r="D23" t="str">
            <v>,</v>
          </cell>
          <cell r="E23" t="str">
            <v xml:space="preserve">title: </v>
          </cell>
          <cell r="F23" t="str">
            <v>"</v>
          </cell>
          <cell r="G23" t="str">
            <v>aleluyayallegoelreino</v>
          </cell>
          <cell r="H23" t="str">
            <v>Aleluya, ya llegó el reino</v>
          </cell>
          <cell r="I23" t="str">
            <v>",</v>
          </cell>
          <cell r="J23" t="str">
            <v xml:space="preserve"> subtitle: </v>
          </cell>
          <cell r="K23" t="str">
            <v>"</v>
          </cell>
          <cell r="L23" t="str">
            <v>Apocalipsis 19,6-9</v>
          </cell>
          <cell r="M23" t="str">
            <v xml:space="preserve">", </v>
          </cell>
          <cell r="N23" t="str">
            <v xml:space="preserve">category: </v>
          </cell>
          <cell r="O23" t="str">
            <v>"</v>
          </cell>
          <cell r="P23" t="str">
            <v>PRECATECUMENADO</v>
          </cell>
          <cell r="Q23" t="str">
            <v>"</v>
          </cell>
          <cell r="R23" t="str">
            <v>, moments: [</v>
          </cell>
          <cell r="S23" t="str">
            <v>"</v>
          </cell>
          <cell r="T23" t="str">
            <v>Entrada</v>
          </cell>
          <cell r="U23" t="str">
            <v>", "</v>
          </cell>
          <cell r="V23" t="str">
            <v>Antiguo Testamento</v>
          </cell>
          <cell r="AE23" t="str">
            <v>"], url: "</v>
          </cell>
          <cell r="AF23" t="str">
            <v>/cantos/resucito/a/aleluyayallegoelreino.html</v>
          </cell>
          <cell r="AG23" t="str">
            <v>/cantos/resucito/a/aleluyayallegoelreino.html</v>
          </cell>
          <cell r="AH23" t="str">
            <v>"},</v>
          </cell>
          <cell r="AI23" t="str">
            <v>a</v>
          </cell>
          <cell r="AJ23" t="str">
            <v>p</v>
          </cell>
          <cell r="AK23" t="str">
            <v>{id:20,title: "aleluyayallegoelreinoAleluya, ya llegó el reino", subtitle: "Apocalipsis 19,6-9", category: "PRECATECUMENADO", moments: ["Entrada", "Antiguo Testamento"], url: "/cantos/resucito/a/aleluyayallegoelreino.html/cantos/resucito/a/aleluyayallegoelreino.html"},</v>
          </cell>
          <cell r="AL23" t="str">
            <v>ALELUYA, YA LLEGÓ EL REINO</v>
          </cell>
          <cell r="AM23" t="str">
            <v>aleluya,yallegóelreino</v>
          </cell>
          <cell r="AN23" t="str">
            <v>Apocalipsis 19,6-9</v>
          </cell>
          <cell r="AP23" t="str">
            <v>CANTO</v>
          </cell>
          <cell r="AQ23" t="str">
            <v>ALELUYA, YA LLEGÓ EL REINO</v>
          </cell>
        </row>
        <row r="24">
          <cell r="A24">
            <v>16</v>
          </cell>
          <cell r="B24" t="str">
            <v>{id:</v>
          </cell>
          <cell r="C24">
            <v>21</v>
          </cell>
          <cell r="D24" t="str">
            <v>,</v>
          </cell>
          <cell r="E24" t="str">
            <v xml:space="preserve">title: </v>
          </cell>
          <cell r="F24" t="str">
            <v>"</v>
          </cell>
          <cell r="G24" t="str">
            <v>alzaospuertas</v>
          </cell>
          <cell r="H24" t="str">
            <v>Alzaos, puertas</v>
          </cell>
          <cell r="I24" t="str">
            <v>",</v>
          </cell>
          <cell r="J24" t="str">
            <v xml:space="preserve"> subtitle: </v>
          </cell>
          <cell r="K24" t="str">
            <v>"</v>
          </cell>
          <cell r="L24" t="str">
            <v>Salmo 24 (23)</v>
          </cell>
          <cell r="M24" t="str">
            <v xml:space="preserve">", </v>
          </cell>
          <cell r="N24" t="str">
            <v xml:space="preserve">category: </v>
          </cell>
          <cell r="O24" t="str">
            <v>"</v>
          </cell>
          <cell r="P24" t="str">
            <v>PRECATECUMENADO</v>
          </cell>
          <cell r="Q24" t="str">
            <v>"</v>
          </cell>
          <cell r="R24" t="str">
            <v>, moments: [</v>
          </cell>
          <cell r="S24" t="str">
            <v>"</v>
          </cell>
          <cell r="T24" t="str">
            <v>Entrada</v>
          </cell>
          <cell r="U24" t="str">
            <v>", "</v>
          </cell>
          <cell r="V24" t="str">
            <v>Nuevo Testamento</v>
          </cell>
          <cell r="AE24" t="str">
            <v>"], url: "</v>
          </cell>
          <cell r="AF24" t="str">
            <v>/cantos/resucito/a/alzaospuertas.html</v>
          </cell>
          <cell r="AG24" t="str">
            <v>/cantos/resucito/a/alzaospuertas.html</v>
          </cell>
          <cell r="AH24" t="str">
            <v>"},</v>
          </cell>
          <cell r="AI24" t="str">
            <v>a</v>
          </cell>
          <cell r="AJ24" t="str">
            <v>p</v>
          </cell>
          <cell r="AK24" t="str">
            <v>{id:21,title: "alzaospuertasAlzaos, puertas", subtitle: "Salmo 24 (23)", category: "PRECATECUMENADO", moments: ["Entrada", "Nuevo Testamento"], url: "/cantos/resucito/a/alzaospuertas.html/cantos/resucito/a/alzaospuertas.html"},</v>
          </cell>
          <cell r="AL24" t="str">
            <v>ALZAOS, PUERTAS</v>
          </cell>
          <cell r="AM24" t="str">
            <v>alzaos,puertas</v>
          </cell>
          <cell r="AN24" t="str">
            <v>Salmo 24 (23)</v>
          </cell>
          <cell r="AP24" t="str">
            <v>CANTO</v>
          </cell>
          <cell r="AQ24" t="str">
            <v>ALZAOS, PUERTAS</v>
          </cell>
        </row>
        <row r="25">
          <cell r="A25">
            <v>17</v>
          </cell>
          <cell r="B25" t="str">
            <v>{id:</v>
          </cell>
          <cell r="C25">
            <v>22</v>
          </cell>
          <cell r="D25" t="str">
            <v>,</v>
          </cell>
          <cell r="E25" t="str">
            <v xml:space="preserve">title: </v>
          </cell>
          <cell r="F25" t="str">
            <v>"</v>
          </cell>
          <cell r="G25" t="str">
            <v>amenamenamen</v>
          </cell>
          <cell r="H25" t="str">
            <v>Amén, amén, amén</v>
          </cell>
          <cell r="I25" t="str">
            <v>",</v>
          </cell>
          <cell r="J25" t="str">
            <v xml:space="preserve"> subtitle: </v>
          </cell>
          <cell r="K25" t="str">
            <v>"</v>
          </cell>
          <cell r="L25" t="str">
            <v xml:space="preserve">Apocalipsis 7,12-14 </v>
          </cell>
          <cell r="M25" t="str">
            <v xml:space="preserve">", </v>
          </cell>
          <cell r="N25" t="str">
            <v xml:space="preserve">category: </v>
          </cell>
          <cell r="O25" t="str">
            <v>"</v>
          </cell>
          <cell r="P25" t="str">
            <v>PRECATECUMENADO</v>
          </cell>
          <cell r="Q25" t="str">
            <v>"</v>
          </cell>
          <cell r="R25" t="str">
            <v>, moments: [</v>
          </cell>
          <cell r="S25" t="str">
            <v>"</v>
          </cell>
          <cell r="T25" t="str">
            <v>Cuaresma</v>
          </cell>
          <cell r="U25" t="str">
            <v>", "</v>
          </cell>
          <cell r="V25" t="str">
            <v>Laudes/Visperas</v>
          </cell>
          <cell r="W25" t="str">
            <v>", "</v>
          </cell>
          <cell r="X25" t="str">
            <v>Antiguo Testamento</v>
          </cell>
          <cell r="Y25" t="str">
            <v>", "</v>
          </cell>
          <cell r="AE25" t="str">
            <v>"], url: "</v>
          </cell>
          <cell r="AF25" t="str">
            <v>/cantos/resucito/a/amenamenamen.html</v>
          </cell>
          <cell r="AG25" t="str">
            <v>/cantos/resucito/a/amenamenamen.html</v>
          </cell>
          <cell r="AH25" t="str">
            <v>"},</v>
          </cell>
          <cell r="AI25" t="str">
            <v>a</v>
          </cell>
          <cell r="AJ25" t="str">
            <v>p</v>
          </cell>
          <cell r="AK25" t="str">
            <v>{id:22,title: "amenamenamenAmén, amén, amén", subtitle: "Apocalipsis 7,12-14 ", category: "PRECATECUMENADO", moments: ["Cuaresma", "Laudes/Visperas", "Antiguo Testamento", ""], url: "/cantos/resucito/a/amenamenamen.html/cantos/resucito/a/amenamenamen.html"},</v>
          </cell>
          <cell r="AL25" t="str">
            <v>AMÉN, AMÉN, AMÉN</v>
          </cell>
          <cell r="AM25" t="str">
            <v>amén,amén,amén</v>
          </cell>
          <cell r="AN25" t="str">
            <v xml:space="preserve">Apocalipsis 7,12-14 </v>
          </cell>
          <cell r="AP25" t="str">
            <v>CANTO</v>
          </cell>
          <cell r="AQ25" t="str">
            <v>AMÉN, AMÉN, AMÉN</v>
          </cell>
        </row>
        <row r="26">
          <cell r="A26">
            <v>18</v>
          </cell>
          <cell r="B26" t="str">
            <v>{id:</v>
          </cell>
          <cell r="C26">
            <v>23</v>
          </cell>
          <cell r="D26" t="str">
            <v>,</v>
          </cell>
          <cell r="E26" t="str">
            <v xml:space="preserve">title: </v>
          </cell>
          <cell r="F26" t="str">
            <v>"</v>
          </cell>
          <cell r="G26" t="str">
            <v>amoalsenor</v>
          </cell>
          <cell r="H26" t="str">
            <v>Amo al Señor</v>
          </cell>
          <cell r="I26" t="str">
            <v>",</v>
          </cell>
          <cell r="J26" t="str">
            <v xml:space="preserve"> subtitle: </v>
          </cell>
          <cell r="K26" t="str">
            <v>"</v>
          </cell>
          <cell r="L26" t="str">
            <v>Salmo 116 (114-115)</v>
          </cell>
          <cell r="M26" t="str">
            <v xml:space="preserve">", </v>
          </cell>
          <cell r="N26" t="str">
            <v xml:space="preserve">category: </v>
          </cell>
          <cell r="O26" t="str">
            <v>"</v>
          </cell>
          <cell r="P26" t="str">
            <v>PRECATECUMENADO</v>
          </cell>
          <cell r="Q26" t="str">
            <v>"</v>
          </cell>
          <cell r="R26" t="str">
            <v>, moments: [</v>
          </cell>
          <cell r="S26" t="str">
            <v>"</v>
          </cell>
          <cell r="T26" t="str">
            <v>Cuaresma</v>
          </cell>
          <cell r="AE26" t="str">
            <v>"], url: "</v>
          </cell>
          <cell r="AF26" t="str">
            <v>/cantos/resucito/a/amoalsenor.html</v>
          </cell>
          <cell r="AG26" t="str">
            <v>/cantos/resucito/a/amoalsenor.html</v>
          </cell>
          <cell r="AH26" t="str">
            <v>"},</v>
          </cell>
          <cell r="AI26" t="str">
            <v>a</v>
          </cell>
          <cell r="AJ26" t="str">
            <v>p</v>
          </cell>
          <cell r="AK26" t="str">
            <v>{id:23,title: "amoalsenorAmo al Señor", subtitle: "Salmo 116 (114-115)", category: "PRECATECUMENADO", moments: ["Cuaresma"], url: "/cantos/resucito/a/amoalsenor.html/cantos/resucito/a/amoalsenor.html"},</v>
          </cell>
          <cell r="AL26" t="str">
            <v>AMO AL SEÑOR</v>
          </cell>
          <cell r="AM26" t="str">
            <v>amoalseñor</v>
          </cell>
          <cell r="AN26" t="str">
            <v>Salmo 116 (114-115)</v>
          </cell>
          <cell r="AP26" t="str">
            <v>CANTO</v>
          </cell>
          <cell r="AQ26" t="str">
            <v>AMO AL SEÑOR</v>
          </cell>
        </row>
        <row r="27">
          <cell r="A27">
            <v>182</v>
          </cell>
          <cell r="B27" t="str">
            <v>{id:</v>
          </cell>
          <cell r="C27">
            <v>24</v>
          </cell>
          <cell r="D27" t="str">
            <v>,</v>
          </cell>
          <cell r="E27" t="str">
            <v xml:space="preserve">title: </v>
          </cell>
          <cell r="F27" t="str">
            <v>"</v>
          </cell>
          <cell r="G27" t="str">
            <v>antifonaparaelevangelio</v>
          </cell>
          <cell r="H27" t="str">
            <v>Antífona para el Evangelio</v>
          </cell>
          <cell r="I27" t="str">
            <v>",</v>
          </cell>
          <cell r="J27" t="str">
            <v xml:space="preserve"> subtitle: </v>
          </cell>
          <cell r="K27" t="str">
            <v>"</v>
          </cell>
          <cell r="L27" t="str">
            <v>Tiempo de Cuaresma</v>
          </cell>
          <cell r="M27" t="str">
            <v xml:space="preserve">", </v>
          </cell>
          <cell r="N27" t="str">
            <v xml:space="preserve">category: </v>
          </cell>
          <cell r="O27" t="str">
            <v>"</v>
          </cell>
          <cell r="P27" t="str">
            <v>LITÚRGICOS</v>
          </cell>
          <cell r="Q27" t="str">
            <v>"</v>
          </cell>
          <cell r="R27" t="str">
            <v>, moments: [</v>
          </cell>
          <cell r="S27" t="str">
            <v>"</v>
          </cell>
          <cell r="T27" t="str">
            <v>Pascua</v>
          </cell>
          <cell r="U27" t="str">
            <v>", "</v>
          </cell>
          <cell r="V27" t="str">
            <v>Niños</v>
          </cell>
          <cell r="W27" t="str">
            <v>", "</v>
          </cell>
          <cell r="X27" t="str">
            <v>Fracción del Fracción del Pan</v>
          </cell>
          <cell r="Y27" t="str">
            <v>", "</v>
          </cell>
          <cell r="Z27" t="str">
            <v>Antiguo Testamento</v>
          </cell>
          <cell r="AE27" t="str">
            <v>"], url: "</v>
          </cell>
          <cell r="AF27" t="str">
            <v>/cantos/resucito/a/antifonaparaelevangelio.html</v>
          </cell>
          <cell r="AG27" t="str">
            <v>/cantos/resucito/a/antifonaparaelevangelio.html</v>
          </cell>
          <cell r="AH27" t="str">
            <v>"},</v>
          </cell>
          <cell r="AI27" t="str">
            <v>a</v>
          </cell>
          <cell r="AJ27" t="str">
            <v>l</v>
          </cell>
          <cell r="AK27" t="str">
            <v>{id:24,title: "antifonaparaelevangelioAntífona para el Evangelio", subtitle: "Tiempo de Cuaresma", category: "LITÚRGICOS", moments: ["Pascua", "Niños", "Fracción del Fracción del Pan", "Antiguo Testamento"], url: "/cantos/resucito/a/antifonaparaelevangelio.html/cantos/resucito/a/antifonaparaelevangelio.html"},</v>
          </cell>
          <cell r="AL27" t="str">
            <v>ANTÍFONA PARA EL EVANGELIO</v>
          </cell>
          <cell r="AM27" t="str">
            <v>antífonaparaelevangelio</v>
          </cell>
          <cell r="AN27" t="str">
            <v>Tiempo de Cuaresma</v>
          </cell>
          <cell r="AP27" t="str">
            <v>CANTO</v>
          </cell>
          <cell r="AQ27" t="str">
            <v>ANTÍFONA PARA EL EVANGELIO</v>
          </cell>
        </row>
        <row r="28">
          <cell r="A28">
            <v>19</v>
          </cell>
          <cell r="B28" t="str">
            <v>{id:</v>
          </cell>
          <cell r="C28">
            <v>25</v>
          </cell>
          <cell r="D28" t="str">
            <v>,</v>
          </cell>
          <cell r="E28" t="str">
            <v xml:space="preserve">title: </v>
          </cell>
          <cell r="F28" t="str">
            <v>"</v>
          </cell>
          <cell r="G28" t="str">
            <v>aquedah</v>
          </cell>
          <cell r="H28" t="str">
            <v>Aquedah</v>
          </cell>
          <cell r="I28" t="str">
            <v>",</v>
          </cell>
          <cell r="J28" t="str">
            <v xml:space="preserve"> subtitle: </v>
          </cell>
          <cell r="K28" t="str">
            <v>"</v>
          </cell>
          <cell r="L28" t="str">
            <v>Gn 22,1-19 - Del Targum Neofiti sobre el sacrificio de Isaac</v>
          </cell>
          <cell r="M28" t="str">
            <v xml:space="preserve">", </v>
          </cell>
          <cell r="N28" t="str">
            <v xml:space="preserve">category: </v>
          </cell>
          <cell r="O28" t="str">
            <v>"</v>
          </cell>
          <cell r="P28" t="str">
            <v>PRECATECUMENADO</v>
          </cell>
          <cell r="Q28" t="str">
            <v>"</v>
          </cell>
          <cell r="R28" t="str">
            <v>, moments: [</v>
          </cell>
          <cell r="S28" t="str">
            <v>"</v>
          </cell>
          <cell r="T28" t="str">
            <v>Cuaresma</v>
          </cell>
          <cell r="AE28" t="str">
            <v>"], url: "</v>
          </cell>
          <cell r="AF28" t="str">
            <v>/cantos/resucito/a/aquedah.html</v>
          </cell>
          <cell r="AG28" t="str">
            <v>/cantos/resucito/a/aquedah.html</v>
          </cell>
          <cell r="AH28" t="str">
            <v>"},</v>
          </cell>
          <cell r="AI28" t="str">
            <v>a</v>
          </cell>
          <cell r="AJ28" t="str">
            <v>p</v>
          </cell>
          <cell r="AK28" t="str">
            <v>{id:25,title: "aquedahAquedah", subtitle: "Gn 22,1-19 - Del Targum Neofiti sobre el sacrificio de Isaac", category: "PRECATECUMENADO", moments: ["Cuaresma"], url: "/cantos/resucito/a/aquedah.html/cantos/resucito/a/aquedah.html"},</v>
          </cell>
          <cell r="AL28" t="str">
            <v>AQUEDAH</v>
          </cell>
          <cell r="AM28" t="str">
            <v>aquedah</v>
          </cell>
          <cell r="AN28" t="str">
            <v>Gn 22,1-19 - Del Targum Neofiti sobre el sacrificio de Isaac</v>
          </cell>
          <cell r="AP28" t="str">
            <v>CANTO</v>
          </cell>
          <cell r="AQ28" t="str">
            <v>AQUEDAH</v>
          </cell>
        </row>
        <row r="29">
          <cell r="A29">
            <v>20</v>
          </cell>
          <cell r="B29" t="str">
            <v>{id:</v>
          </cell>
          <cell r="C29">
            <v>26</v>
          </cell>
          <cell r="D29" t="str">
            <v>,</v>
          </cell>
          <cell r="E29" t="str">
            <v xml:space="preserve">title: </v>
          </cell>
          <cell r="F29" t="str">
            <v>"</v>
          </cell>
          <cell r="G29" t="str">
            <v>asihablaelamen</v>
          </cell>
          <cell r="H29" t="str">
            <v>Así habla el amén</v>
          </cell>
          <cell r="I29" t="str">
            <v>",</v>
          </cell>
          <cell r="J29" t="str">
            <v xml:space="preserve"> subtitle: </v>
          </cell>
          <cell r="K29" t="str">
            <v>"</v>
          </cell>
          <cell r="L29" t="str">
            <v>Ap 3,14-20</v>
          </cell>
          <cell r="M29" t="str">
            <v xml:space="preserve">", </v>
          </cell>
          <cell r="N29" t="str">
            <v xml:space="preserve">category: </v>
          </cell>
          <cell r="O29" t="str">
            <v>"</v>
          </cell>
          <cell r="P29" t="str">
            <v>PRECATECUMENADO</v>
          </cell>
          <cell r="Q29" t="str">
            <v>"</v>
          </cell>
          <cell r="R29" t="str">
            <v>, moments: [</v>
          </cell>
          <cell r="S29" t="str">
            <v>"</v>
          </cell>
          <cell r="T29" t="str">
            <v>Virgen</v>
          </cell>
          <cell r="U29" t="str">
            <v>", "</v>
          </cell>
          <cell r="V29" t="str">
            <v>Nuevo Testamento</v>
          </cell>
          <cell r="AE29" t="str">
            <v>"], url: "</v>
          </cell>
          <cell r="AF29" t="str">
            <v>/cantos/resucito/a/asihablaelamen.html</v>
          </cell>
          <cell r="AG29" t="str">
            <v>/cantos/resucito/a/asihablaelamen.html</v>
          </cell>
          <cell r="AH29" t="str">
            <v>"},</v>
          </cell>
          <cell r="AI29" t="str">
            <v>a</v>
          </cell>
          <cell r="AJ29" t="str">
            <v>p</v>
          </cell>
          <cell r="AK29" t="str">
            <v>{id:26,title: "asihablaelamenAsí habla el amén", subtitle: "Ap 3,14-20", category: "PRECATECUMENADO", moments: ["Virgen", "Nuevo Testamento"], url: "/cantos/resucito/a/asihablaelamen.html/cantos/resucito/a/asihablaelamen.html"},</v>
          </cell>
          <cell r="AL29" t="str">
            <v>ASÍ HABLA EL AMÉN</v>
          </cell>
          <cell r="AM29" t="str">
            <v>asíhablaelamén</v>
          </cell>
          <cell r="AN29" t="str">
            <v>Ap 3,14-20</v>
          </cell>
          <cell r="AP29" t="str">
            <v>CANTO</v>
          </cell>
          <cell r="AQ29" t="str">
            <v>ASÍ HABLA EL AMÉN</v>
          </cell>
        </row>
        <row r="30">
          <cell r="A30">
            <v>21</v>
          </cell>
          <cell r="B30" t="str">
            <v>{id:</v>
          </cell>
          <cell r="C30">
            <v>27</v>
          </cell>
          <cell r="D30" t="str">
            <v>,</v>
          </cell>
          <cell r="E30" t="str">
            <v xml:space="preserve">title: </v>
          </cell>
          <cell r="F30" t="str">
            <v>"</v>
          </cell>
          <cell r="G30" t="str">
            <v>avemariai</v>
          </cell>
          <cell r="H30" t="str">
            <v>Ave María I</v>
          </cell>
          <cell r="I30" t="str">
            <v>",</v>
          </cell>
          <cell r="J30" t="str">
            <v xml:space="preserve"> subtitle: </v>
          </cell>
          <cell r="K30" t="str">
            <v>"</v>
          </cell>
          <cell r="L30" t="str">
            <v>Lc 1,28ss</v>
          </cell>
          <cell r="M30" t="str">
            <v xml:space="preserve">", </v>
          </cell>
          <cell r="N30" t="str">
            <v xml:space="preserve">category: </v>
          </cell>
          <cell r="O30" t="str">
            <v>"</v>
          </cell>
          <cell r="P30" t="str">
            <v>PRECATECUMENADO</v>
          </cell>
          <cell r="Q30" t="str">
            <v>"</v>
          </cell>
          <cell r="R30" t="str">
            <v>, moments: [</v>
          </cell>
          <cell r="S30" t="str">
            <v>"</v>
          </cell>
          <cell r="T30" t="str">
            <v>Virgen</v>
          </cell>
          <cell r="U30" t="str">
            <v>", "</v>
          </cell>
          <cell r="V30" t="str">
            <v>Final</v>
          </cell>
          <cell r="W30" t="str">
            <v>", "</v>
          </cell>
          <cell r="X30" t="str">
            <v>Nuevo Testamento</v>
          </cell>
          <cell r="AE30" t="str">
            <v>"], url: "</v>
          </cell>
          <cell r="AF30" t="str">
            <v>/cantos/resucito/a/avemariai.html</v>
          </cell>
          <cell r="AG30" t="str">
            <v>/cantos/resucito/a/avemariai.html</v>
          </cell>
          <cell r="AH30" t="str">
            <v>"},</v>
          </cell>
          <cell r="AI30" t="str">
            <v>a</v>
          </cell>
          <cell r="AJ30" t="str">
            <v>p</v>
          </cell>
          <cell r="AK30" t="str">
            <v>{id:27,title: "avemariaiAve María I", subtitle: "Lc 1,28ss", category: "PRECATECUMENADO", moments: ["Virgen", "Final", "Nuevo Testamento"], url: "/cantos/resucito/a/avemariai.html/cantos/resucito/a/avemariai.html"},</v>
          </cell>
          <cell r="AL30" t="str">
            <v>AVE MARÍA I</v>
          </cell>
          <cell r="AM30" t="str">
            <v>avemaríai</v>
          </cell>
          <cell r="AN30" t="str">
            <v>Lc 1,28ss</v>
          </cell>
          <cell r="AP30" t="str">
            <v>CANTO</v>
          </cell>
          <cell r="AQ30" t="str">
            <v>AVE MARÍA I</v>
          </cell>
        </row>
        <row r="31">
          <cell r="A31">
            <v>22</v>
          </cell>
          <cell r="B31" t="str">
            <v>{id:</v>
          </cell>
          <cell r="C31">
            <v>28</v>
          </cell>
          <cell r="D31" t="str">
            <v>,</v>
          </cell>
          <cell r="E31" t="str">
            <v xml:space="preserve">title: </v>
          </cell>
          <cell r="F31" t="str">
            <v>"</v>
          </cell>
          <cell r="G31" t="str">
            <v>avemariaii(1984)</v>
          </cell>
          <cell r="H31" t="str">
            <v>Ave María II (1984)</v>
          </cell>
          <cell r="I31" t="str">
            <v>",</v>
          </cell>
          <cell r="J31" t="str">
            <v xml:space="preserve"> subtitle: </v>
          </cell>
          <cell r="K31" t="str">
            <v>"</v>
          </cell>
          <cell r="L31" t="str">
            <v xml:space="preserve">Lc 1,28ss - 1984 </v>
          </cell>
          <cell r="M31" t="str">
            <v xml:space="preserve">", </v>
          </cell>
          <cell r="N31" t="str">
            <v xml:space="preserve">category: </v>
          </cell>
          <cell r="O31" t="str">
            <v>"</v>
          </cell>
          <cell r="P31" t="str">
            <v>PRECATECUMENADO</v>
          </cell>
          <cell r="Q31" t="str">
            <v>"</v>
          </cell>
          <cell r="R31" t="str">
            <v>, moments: [</v>
          </cell>
          <cell r="S31" t="str">
            <v>"</v>
          </cell>
          <cell r="T31" t="str">
            <v>Cuaresma</v>
          </cell>
          <cell r="U31" t="str">
            <v>", "</v>
          </cell>
          <cell r="V31" t="str">
            <v>Laudes/Visperas</v>
          </cell>
          <cell r="W31" t="str">
            <v>", "</v>
          </cell>
          <cell r="X31" t="str">
            <v>Antiguo Testamento</v>
          </cell>
          <cell r="AE31" t="str">
            <v>"], url: "</v>
          </cell>
          <cell r="AF31" t="str">
            <v>/cantos/resucito/a/avemariaii(1984).html</v>
          </cell>
          <cell r="AG31" t="str">
            <v>/cantos/resucito/a/avemariaii(1984).html</v>
          </cell>
          <cell r="AH31" t="str">
            <v>"},</v>
          </cell>
          <cell r="AI31" t="str">
            <v>a</v>
          </cell>
          <cell r="AJ31" t="str">
            <v>p</v>
          </cell>
          <cell r="AK31" t="str">
            <v>{id:28,title: "avemariaii(1984)Ave María II (1984)", subtitle: "Lc 1,28ss - 1984 ", category: "PRECATECUMENADO", moments: ["Cuaresma", "Laudes/Visperas", "Antiguo Testamento"], url: "/cantos/resucito/a/avemariaii(1984).html/cantos/resucito/a/avemariaii(1984).html"},</v>
          </cell>
          <cell r="AL31" t="str">
            <v>AVE MARÍA II (1984)</v>
          </cell>
          <cell r="AM31" t="str">
            <v>avemaríaii(1984)</v>
          </cell>
          <cell r="AN31" t="str">
            <v xml:space="preserve">Lc 1,28ss - 1984 </v>
          </cell>
          <cell r="AP31" t="str">
            <v>CANTO</v>
          </cell>
          <cell r="AQ31" t="str">
            <v>AVE MARÍA II (1984)</v>
          </cell>
        </row>
        <row r="32">
          <cell r="A32">
            <v>23</v>
          </cell>
          <cell r="B32" t="str">
            <v>{id:</v>
          </cell>
          <cell r="C32">
            <v>29</v>
          </cell>
          <cell r="D32" t="str">
            <v>,</v>
          </cell>
          <cell r="E32" t="str">
            <v xml:space="preserve">title: </v>
          </cell>
          <cell r="F32" t="str">
            <v>"</v>
          </cell>
          <cell r="G32" t="str">
            <v>babiloniacriminal</v>
          </cell>
          <cell r="H32" t="str">
            <v>Babilonia criminal</v>
          </cell>
          <cell r="I32" t="str">
            <v>",</v>
          </cell>
          <cell r="J32" t="str">
            <v xml:space="preserve"> subtitle: </v>
          </cell>
          <cell r="K32" t="str">
            <v>"</v>
          </cell>
          <cell r="L32" t="str">
            <v>Sal 137 (136)</v>
          </cell>
          <cell r="M32" t="str">
            <v xml:space="preserve">", </v>
          </cell>
          <cell r="N32" t="str">
            <v xml:space="preserve">category: </v>
          </cell>
          <cell r="O32" t="str">
            <v>"</v>
          </cell>
          <cell r="P32" t="str">
            <v>PRECATECUMENADO</v>
          </cell>
          <cell r="Q32" t="str">
            <v>"</v>
          </cell>
          <cell r="R32" t="str">
            <v>, moments: [</v>
          </cell>
          <cell r="S32" t="str">
            <v>"</v>
          </cell>
          <cell r="T32" t="str">
            <v>Paz</v>
          </cell>
          <cell r="U32" t="str">
            <v>", "</v>
          </cell>
          <cell r="V32" t="str">
            <v>Comunión</v>
          </cell>
          <cell r="W32" t="str">
            <v>", "</v>
          </cell>
          <cell r="X32" t="str">
            <v>Final</v>
          </cell>
          <cell r="Y32" t="str">
            <v>", "</v>
          </cell>
          <cell r="Z32" t="str">
            <v>Antiguo Testamento</v>
          </cell>
          <cell r="AE32" t="str">
            <v>"], url: "</v>
          </cell>
          <cell r="AF32" t="str">
            <v>/cantos/resucito/b/babiloniacriminal.html</v>
          </cell>
          <cell r="AG32" t="str">
            <v>/cantos/resucito/b/babiloniacriminal.html</v>
          </cell>
          <cell r="AH32" t="str">
            <v>"},</v>
          </cell>
          <cell r="AI32" t="str">
            <v>b</v>
          </cell>
          <cell r="AJ32" t="str">
            <v>p</v>
          </cell>
          <cell r="AK32" t="str">
            <v>{id:29,title: "babiloniacriminalBabilonia criminal", subtitle: "Sal 137 (136)", category: "PRECATECUMENADO", moments: ["Paz", "Comunión", "Final", "Antiguo Testamento"], url: "/cantos/resucito/b/babiloniacriminal.html/cantos/resucito/b/babiloniacriminal.html"},</v>
          </cell>
          <cell r="AL32" t="str">
            <v>BABILONIA CRIMINAL</v>
          </cell>
          <cell r="AM32" t="str">
            <v>babiloniacriminal</v>
          </cell>
          <cell r="AN32" t="str">
            <v>Sal 137 (136)</v>
          </cell>
          <cell r="AP32" t="str">
            <v>CANTO</v>
          </cell>
          <cell r="AQ32" t="str">
            <v>BABILONIA CRIMINAL</v>
          </cell>
        </row>
        <row r="33">
          <cell r="A33">
            <v>24</v>
          </cell>
          <cell r="B33" t="str">
            <v>{id:</v>
          </cell>
          <cell r="C33">
            <v>30</v>
          </cell>
          <cell r="D33" t="str">
            <v>,</v>
          </cell>
          <cell r="E33" t="str">
            <v xml:space="preserve">title: </v>
          </cell>
          <cell r="F33" t="str">
            <v>"</v>
          </cell>
          <cell r="G33" t="str">
            <v>balaam</v>
          </cell>
          <cell r="H33" t="str">
            <v>Balaam</v>
          </cell>
          <cell r="I33" t="str">
            <v>",</v>
          </cell>
          <cell r="J33" t="str">
            <v xml:space="preserve"> subtitle: </v>
          </cell>
          <cell r="K33" t="str">
            <v>"</v>
          </cell>
          <cell r="L33" t="str">
            <v>Nm 23,7-24</v>
          </cell>
          <cell r="M33" t="str">
            <v xml:space="preserve">", </v>
          </cell>
          <cell r="N33" t="str">
            <v xml:space="preserve">category: </v>
          </cell>
          <cell r="O33" t="str">
            <v>"</v>
          </cell>
          <cell r="P33" t="str">
            <v>PRECATECUMENADO</v>
          </cell>
          <cell r="Q33" t="str">
            <v>"</v>
          </cell>
          <cell r="R33" t="str">
            <v>, moments: [</v>
          </cell>
          <cell r="S33" t="str">
            <v>"</v>
          </cell>
          <cell r="T33" t="str">
            <v>Cuaresma</v>
          </cell>
          <cell r="U33" t="str">
            <v>", "</v>
          </cell>
          <cell r="V33" t="str">
            <v>Laudes/Visperas</v>
          </cell>
          <cell r="W33" t="str">
            <v>", "</v>
          </cell>
          <cell r="X33" t="str">
            <v>Antiguo Testamento</v>
          </cell>
          <cell r="AE33" t="str">
            <v>"], url: "</v>
          </cell>
          <cell r="AF33" t="str">
            <v>/cantos/resucito/b/balaam.html</v>
          </cell>
          <cell r="AG33" t="str">
            <v>/cantos/resucito/b/balaam.html</v>
          </cell>
          <cell r="AH33" t="str">
            <v>"},</v>
          </cell>
          <cell r="AI33" t="str">
            <v>b</v>
          </cell>
          <cell r="AJ33" t="str">
            <v>p</v>
          </cell>
          <cell r="AK33" t="str">
            <v>{id:30,title: "balaamBalaam", subtitle: "Nm 23,7-24", category: "PRECATECUMENADO", moments: ["Cuaresma", "Laudes/Visperas", "Antiguo Testamento"], url: "/cantos/resucito/b/balaam.html/cantos/resucito/b/balaam.html"},</v>
          </cell>
          <cell r="AL33" t="str">
            <v>BALAAM</v>
          </cell>
          <cell r="AM33" t="str">
            <v>balaam</v>
          </cell>
          <cell r="AN33" t="str">
            <v>Nm 23,7-24</v>
          </cell>
          <cell r="AP33" t="str">
            <v>CANTO</v>
          </cell>
          <cell r="AQ33" t="str">
            <v>BALAAM</v>
          </cell>
        </row>
        <row r="34">
          <cell r="A34">
            <v>25</v>
          </cell>
          <cell r="B34" t="str">
            <v>{id:</v>
          </cell>
          <cell r="C34">
            <v>31</v>
          </cell>
          <cell r="D34" t="str">
            <v>,</v>
          </cell>
          <cell r="E34" t="str">
            <v xml:space="preserve">title: </v>
          </cell>
          <cell r="F34" t="str">
            <v>"</v>
          </cell>
          <cell r="G34" t="str">
            <v>bendecirealsenorentodotiempo</v>
          </cell>
          <cell r="H34" t="str">
            <v>Bendeciré al Señor en todo tiempo</v>
          </cell>
          <cell r="I34" t="str">
            <v>",</v>
          </cell>
          <cell r="J34" t="str">
            <v xml:space="preserve"> subtitle: </v>
          </cell>
          <cell r="K34" t="str">
            <v>"</v>
          </cell>
          <cell r="L34" t="str">
            <v>Sal 34 (33)</v>
          </cell>
          <cell r="M34" t="str">
            <v xml:space="preserve">", </v>
          </cell>
          <cell r="N34" t="str">
            <v xml:space="preserve">category: </v>
          </cell>
          <cell r="O34" t="str">
            <v>"</v>
          </cell>
          <cell r="P34" t="str">
            <v>PRECATECUMENADO</v>
          </cell>
          <cell r="Q34" t="str">
            <v>"</v>
          </cell>
          <cell r="R34" t="str">
            <v>, moments: [</v>
          </cell>
          <cell r="S34" t="str">
            <v>"</v>
          </cell>
          <cell r="T34" t="str">
            <v>Cuaresma</v>
          </cell>
          <cell r="U34" t="str">
            <v>", "</v>
          </cell>
          <cell r="V34" t="str">
            <v>Laudes/Visperas</v>
          </cell>
          <cell r="W34" t="str">
            <v>", "</v>
          </cell>
          <cell r="X34" t="str">
            <v>Antiguo Testamento</v>
          </cell>
          <cell r="AE34" t="str">
            <v>"], url: "</v>
          </cell>
          <cell r="AF34" t="str">
            <v>/cantos/resucito/b/bendecirealsenorentodotiempo.html</v>
          </cell>
          <cell r="AG34" t="str">
            <v>/cantos/resucito/b/bendecirealsenorentodotiempo.html</v>
          </cell>
          <cell r="AH34" t="str">
            <v>"},</v>
          </cell>
          <cell r="AI34" t="str">
            <v>b</v>
          </cell>
          <cell r="AJ34" t="str">
            <v>p</v>
          </cell>
          <cell r="AK34" t="str">
            <v>{id:31,title: "bendecirealsenorentodotiempoBendeciré al Señor en todo tiempo", subtitle: "Sal 34 (33)", category: "PRECATECUMENADO", moments: ["Cuaresma", "Laudes/Visperas", "Antiguo Testamento"], url: "/cantos/resucito/b/bendecirealsenorentodotiempo.html/cantos/resucito/b/bendecirealsenorentodotiempo.html"},</v>
          </cell>
          <cell r="AL34" t="str">
            <v>BENDECIRÉ AL SEÑOR EN TODO TIEMPO</v>
          </cell>
          <cell r="AM34" t="str">
            <v>bendeciréalseñorentodotiempo</v>
          </cell>
          <cell r="AN34" t="str">
            <v>Sal 34 (33)</v>
          </cell>
          <cell r="AP34" t="str">
            <v>CANTO</v>
          </cell>
          <cell r="AQ34" t="str">
            <v>BENDECIRÉ AL SEÑOR EN TODO TIEMPO</v>
          </cell>
        </row>
        <row r="35">
          <cell r="A35">
            <v>26</v>
          </cell>
          <cell r="B35" t="str">
            <v>{id:</v>
          </cell>
          <cell r="C35">
            <v>32</v>
          </cell>
          <cell r="D35" t="str">
            <v>,</v>
          </cell>
          <cell r="E35" t="str">
            <v xml:space="preserve">title: </v>
          </cell>
          <cell r="F35" t="str">
            <v>"</v>
          </cell>
          <cell r="G35" t="str">
            <v>bendicealmamiaayahveh</v>
          </cell>
          <cell r="H35" t="str">
            <v>Bendice, alma mía, a Yahveh</v>
          </cell>
          <cell r="I35" t="str">
            <v>",</v>
          </cell>
          <cell r="J35" t="str">
            <v xml:space="preserve"> subtitle: </v>
          </cell>
          <cell r="K35" t="str">
            <v>"</v>
          </cell>
          <cell r="L35" t="str">
            <v>Sal 103 (102)</v>
          </cell>
          <cell r="M35" t="str">
            <v xml:space="preserve">", </v>
          </cell>
          <cell r="N35" t="str">
            <v xml:space="preserve">category: </v>
          </cell>
          <cell r="O35" t="str">
            <v>"</v>
          </cell>
          <cell r="P35" t="str">
            <v>PRECATECUMENADO</v>
          </cell>
          <cell r="Q35" t="str">
            <v>"</v>
          </cell>
          <cell r="R35" t="str">
            <v>, moments: [</v>
          </cell>
          <cell r="S35" t="str">
            <v>"</v>
          </cell>
          <cell r="T35" t="str">
            <v>Pascua</v>
          </cell>
          <cell r="AE35" t="str">
            <v>"], url: "</v>
          </cell>
          <cell r="AF35" t="str">
            <v>/cantos/resucito/b/bendicealmamiaayahveh.html</v>
          </cell>
          <cell r="AG35" t="str">
            <v>/cantos/resucito/b/bendicealmamiaayahveh.html</v>
          </cell>
          <cell r="AH35" t="str">
            <v>"},</v>
          </cell>
          <cell r="AI35" t="str">
            <v>b</v>
          </cell>
          <cell r="AJ35" t="str">
            <v>p</v>
          </cell>
          <cell r="AK35" t="str">
            <v>{id:32,title: "bendicealmamiaayahvehBendice, alma mía, a Yahveh", subtitle: "Sal 103 (102)", category: "PRECATECUMENADO", moments: ["Pascua"], url: "/cantos/resucito/b/bendicealmamiaayahveh.html/cantos/resucito/b/bendicealmamiaayahveh.html"},</v>
          </cell>
          <cell r="AL35" t="str">
            <v>BENDICE, ALMA MÍA, A YAHVEH</v>
          </cell>
          <cell r="AM35" t="str">
            <v>bendice,almamía,ayahveh</v>
          </cell>
          <cell r="AN35" t="str">
            <v>Sal 103 (102)</v>
          </cell>
          <cell r="AP35" t="str">
            <v>CANTO</v>
          </cell>
          <cell r="AQ35" t="str">
            <v>BENDICE, ALMA MÍA, A YAHVEH</v>
          </cell>
        </row>
        <row r="36">
          <cell r="A36">
            <v>183</v>
          </cell>
          <cell r="B36" t="str">
            <v>{id:</v>
          </cell>
          <cell r="C36">
            <v>33</v>
          </cell>
          <cell r="D36" t="str">
            <v>,</v>
          </cell>
          <cell r="E36" t="str">
            <v xml:space="preserve">title: </v>
          </cell>
          <cell r="F36" t="str">
            <v>"</v>
          </cell>
          <cell r="G36" t="str">
            <v>bendiciondelagua</v>
          </cell>
          <cell r="H36" t="str">
            <v>Bendición del agua</v>
          </cell>
          <cell r="I36" t="str">
            <v>",</v>
          </cell>
          <cell r="J36" t="str">
            <v xml:space="preserve"> subtitle: </v>
          </cell>
          <cell r="K36" t="str">
            <v>"</v>
          </cell>
          <cell r="L36" t="str">
            <v>De la liturgia bautismal de la Vigilia pascual</v>
          </cell>
          <cell r="M36" t="str">
            <v xml:space="preserve">", </v>
          </cell>
          <cell r="N36" t="str">
            <v xml:space="preserve">category: </v>
          </cell>
          <cell r="O36" t="str">
            <v>"</v>
          </cell>
          <cell r="P36" t="str">
            <v>LITÚRGICOS</v>
          </cell>
          <cell r="Q36" t="str">
            <v>"</v>
          </cell>
          <cell r="R36" t="str">
            <v>, moments: [</v>
          </cell>
          <cell r="S36" t="str">
            <v>"</v>
          </cell>
          <cell r="AE36" t="str">
            <v>"], url: "</v>
          </cell>
          <cell r="AF36" t="str">
            <v>/cantos/resucito/b/bendiciondelagua.html</v>
          </cell>
          <cell r="AG36" t="str">
            <v>/cantos/resucito/b/bendiciondelagua.html</v>
          </cell>
          <cell r="AH36" t="str">
            <v>"},</v>
          </cell>
          <cell r="AI36" t="str">
            <v>b</v>
          </cell>
          <cell r="AJ36" t="str">
            <v>l</v>
          </cell>
          <cell r="AK36" t="str">
            <v>{id:33,title: "bendiciondelaguaBendición del agua", subtitle: "De la liturgia bautismal de la Vigilia pascual", category: "LITÚRGICOS", moments: [""], url: "/cantos/resucito/b/bendiciondelagua.html/cantos/resucito/b/bendiciondelagua.html"},</v>
          </cell>
          <cell r="AL36" t="str">
            <v>BENDICIÓN DEL AGUA</v>
          </cell>
          <cell r="AM36" t="str">
            <v>bendicióndelagua</v>
          </cell>
          <cell r="AN36" t="str">
            <v>De la liturgia bautismal de la Vigilia pascual</v>
          </cell>
          <cell r="AP36" t="str">
            <v>CANTO</v>
          </cell>
          <cell r="AQ36" t="str">
            <v>BENDICIÓN DEL AGUA</v>
          </cell>
        </row>
        <row r="37">
          <cell r="A37">
            <v>27</v>
          </cell>
          <cell r="B37" t="str">
            <v>{id:</v>
          </cell>
          <cell r="C37">
            <v>34</v>
          </cell>
          <cell r="D37" t="str">
            <v>,</v>
          </cell>
          <cell r="E37" t="str">
            <v xml:space="preserve">title: </v>
          </cell>
          <cell r="F37" t="str">
            <v>"</v>
          </cell>
          <cell r="G37" t="str">
            <v>benditaerestumaria</v>
          </cell>
          <cell r="H37" t="str">
            <v>Bendita eres tú, María</v>
          </cell>
          <cell r="I37" t="str">
            <v>",</v>
          </cell>
          <cell r="J37" t="str">
            <v xml:space="preserve"> subtitle: </v>
          </cell>
          <cell r="K37" t="str">
            <v>"</v>
          </cell>
          <cell r="L37" t="str">
            <v>Lucas 1,42-45</v>
          </cell>
          <cell r="M37" t="str">
            <v xml:space="preserve">", </v>
          </cell>
          <cell r="N37" t="str">
            <v xml:space="preserve">category: </v>
          </cell>
          <cell r="O37" t="str">
            <v>"</v>
          </cell>
          <cell r="P37" t="str">
            <v>PRECATECUMENADO</v>
          </cell>
          <cell r="Q37" t="str">
            <v>"</v>
          </cell>
          <cell r="R37" t="str">
            <v>, moments: [</v>
          </cell>
          <cell r="S37" t="str">
            <v>"</v>
          </cell>
          <cell r="T37" t="str">
            <v>Penitencial</v>
          </cell>
          <cell r="AE37" t="str">
            <v>"], url: "</v>
          </cell>
          <cell r="AF37" t="str">
            <v>/cantos/resucito/b/benditaerestumaria.html</v>
          </cell>
          <cell r="AG37" t="str">
            <v>/cantos/resucito/b/benditaerestumaria.html</v>
          </cell>
          <cell r="AH37" t="str">
            <v>"},</v>
          </cell>
          <cell r="AI37" t="str">
            <v>b</v>
          </cell>
          <cell r="AJ37" t="str">
            <v>p</v>
          </cell>
          <cell r="AK37" t="str">
            <v>{id:34,title: "benditaerestumariaBendita eres tú, María", subtitle: "Lucas 1,42-45", category: "PRECATECUMENADO", moments: ["Penitencial"], url: "/cantos/resucito/b/benditaerestumaria.html/cantos/resucito/b/benditaerestumaria.html"},</v>
          </cell>
          <cell r="AL37" t="str">
            <v>BENDITA ERES TÚ, MARÍA</v>
          </cell>
          <cell r="AM37" t="str">
            <v>benditaerestú,maría</v>
          </cell>
          <cell r="AN37" t="str">
            <v>Lucas 1,42-45</v>
          </cell>
          <cell r="AP37" t="str">
            <v>CANTO</v>
          </cell>
          <cell r="AQ37" t="str">
            <v>BENDITA ERES TÚ, MARÍA</v>
          </cell>
        </row>
        <row r="38">
          <cell r="A38">
            <v>28</v>
          </cell>
          <cell r="B38" t="str">
            <v>{id:</v>
          </cell>
          <cell r="C38">
            <v>35</v>
          </cell>
          <cell r="D38" t="str">
            <v>,</v>
          </cell>
          <cell r="E38" t="str">
            <v xml:space="preserve">title: </v>
          </cell>
          <cell r="F38" t="str">
            <v>"</v>
          </cell>
          <cell r="G38" t="str">
            <v>benditoeressenor</v>
          </cell>
          <cell r="H38" t="str">
            <v>Bendito eres, Señor</v>
          </cell>
          <cell r="I38" t="str">
            <v>",</v>
          </cell>
          <cell r="J38" t="str">
            <v xml:space="preserve"> subtitle: </v>
          </cell>
          <cell r="K38" t="str">
            <v>"</v>
          </cell>
          <cell r="L38" t="str">
            <v>Daniel 3,52-57</v>
          </cell>
          <cell r="M38" t="str">
            <v xml:space="preserve">", </v>
          </cell>
          <cell r="N38" t="str">
            <v xml:space="preserve">category: </v>
          </cell>
          <cell r="O38" t="str">
            <v>"</v>
          </cell>
          <cell r="P38" t="str">
            <v>PRECATECUMENADO</v>
          </cell>
          <cell r="Q38" t="str">
            <v>"</v>
          </cell>
          <cell r="R38" t="str">
            <v>, moments: [</v>
          </cell>
          <cell r="S38" t="str">
            <v>"</v>
          </cell>
          <cell r="T38" t="str">
            <v>Virgen</v>
          </cell>
          <cell r="U38" t="str">
            <v>", "</v>
          </cell>
          <cell r="V38" t="str">
            <v>Entrada</v>
          </cell>
          <cell r="W38" t="str">
            <v>", "</v>
          </cell>
          <cell r="X38" t="str">
            <v>Final</v>
          </cell>
          <cell r="Y38" t="str">
            <v>", "</v>
          </cell>
          <cell r="Z38" t="str">
            <v>Nuevo Testamento</v>
          </cell>
          <cell r="AE38" t="str">
            <v>"], url: "</v>
          </cell>
          <cell r="AF38" t="str">
            <v>/cantos/resucito/b/benditoeressenor.html</v>
          </cell>
          <cell r="AG38" t="str">
            <v>/cantos/resucito/b/benditoeressenor.html</v>
          </cell>
          <cell r="AH38" t="str">
            <v>"},</v>
          </cell>
          <cell r="AI38" t="str">
            <v>b</v>
          </cell>
          <cell r="AJ38" t="str">
            <v>p</v>
          </cell>
          <cell r="AK38" t="str">
            <v>{id:35,title: "benditoeressenorBendito eres, Señor", subtitle: "Daniel 3,52-57", category: "PRECATECUMENADO", moments: ["Virgen", "Entrada", "Final", "Nuevo Testamento"], url: "/cantos/resucito/b/benditoeressenor.html/cantos/resucito/b/benditoeressenor.html"},</v>
          </cell>
          <cell r="AL38" t="str">
            <v>BENDITO ERES, SEÑOR</v>
          </cell>
          <cell r="AM38" t="str">
            <v>benditoeres,señor</v>
          </cell>
          <cell r="AN38" t="str">
            <v>Daniel 3,52-57</v>
          </cell>
          <cell r="AP38" t="str">
            <v>CANTO</v>
          </cell>
          <cell r="AQ38" t="str">
            <v>BENDITO ERES, SEÑOR</v>
          </cell>
        </row>
        <row r="39">
          <cell r="A39">
            <v>29</v>
          </cell>
          <cell r="B39" t="str">
            <v>{id:</v>
          </cell>
          <cell r="C39">
            <v>36</v>
          </cell>
          <cell r="D39" t="str">
            <v>,</v>
          </cell>
          <cell r="E39" t="str">
            <v xml:space="preserve">title: </v>
          </cell>
          <cell r="F39" t="str">
            <v>"</v>
          </cell>
          <cell r="G39" t="str">
            <v>benditoseadios</v>
          </cell>
          <cell r="H39" t="str">
            <v>Bendito sea Dios</v>
          </cell>
          <cell r="I39" t="str">
            <v>",</v>
          </cell>
          <cell r="J39" t="str">
            <v xml:space="preserve"> subtitle: </v>
          </cell>
          <cell r="K39" t="str">
            <v>"</v>
          </cell>
          <cell r="L39" t="str">
            <v>Efesios 1,3-13</v>
          </cell>
          <cell r="M39" t="str">
            <v xml:space="preserve">", </v>
          </cell>
          <cell r="N39" t="str">
            <v xml:space="preserve">category: </v>
          </cell>
          <cell r="O39" t="str">
            <v>"</v>
          </cell>
          <cell r="P39" t="str">
            <v>PRECATECUMENADO</v>
          </cell>
          <cell r="Q39" t="str">
            <v>"</v>
          </cell>
          <cell r="R39" t="str">
            <v>, moments: [</v>
          </cell>
          <cell r="S39" t="str">
            <v>"</v>
          </cell>
          <cell r="T39" t="str">
            <v>Laudes/Visperas</v>
          </cell>
          <cell r="U39" t="str">
            <v>", "</v>
          </cell>
          <cell r="V39" t="str">
            <v>Antiguo Testamento</v>
          </cell>
          <cell r="AE39" t="str">
            <v>"], url: "</v>
          </cell>
          <cell r="AF39" t="str">
            <v>/cantos/resucito/b/benditoseadios.html</v>
          </cell>
          <cell r="AG39" t="str">
            <v>/cantos/resucito/b/benditoseadios.html</v>
          </cell>
          <cell r="AH39" t="str">
            <v>"},</v>
          </cell>
          <cell r="AI39" t="str">
            <v>b</v>
          </cell>
          <cell r="AJ39" t="str">
            <v>p</v>
          </cell>
          <cell r="AK39" t="str">
            <v>{id:36,title: "benditoseadiosBendito sea Dios", subtitle: "Efesios 1,3-13", category: "PRECATECUMENADO", moments: ["Laudes/Visperas", "Antiguo Testamento"], url: "/cantos/resucito/b/benditoseadios.html/cantos/resucito/b/benditoseadios.html"},</v>
          </cell>
          <cell r="AL39" t="str">
            <v>BENDITO SEA DIOS</v>
          </cell>
          <cell r="AM39" t="str">
            <v>benditoseadios</v>
          </cell>
          <cell r="AN39" t="str">
            <v>Efesios 1,3-13</v>
          </cell>
          <cell r="AP39" t="str">
            <v>CANTO</v>
          </cell>
          <cell r="AQ39" t="str">
            <v>BENDITO SEA DIOS</v>
          </cell>
        </row>
        <row r="40">
          <cell r="A40">
            <v>30</v>
          </cell>
          <cell r="B40" t="str">
            <v>{id:</v>
          </cell>
          <cell r="C40">
            <v>37</v>
          </cell>
          <cell r="D40" t="str">
            <v>,</v>
          </cell>
          <cell r="E40" t="str">
            <v xml:space="preserve">title: </v>
          </cell>
          <cell r="F40" t="str">
            <v>"</v>
          </cell>
          <cell r="G40" t="str">
            <v>benedictus</v>
          </cell>
          <cell r="H40" t="str">
            <v>Benedictus</v>
          </cell>
          <cell r="I40" t="str">
            <v>",</v>
          </cell>
          <cell r="J40" t="str">
            <v xml:space="preserve"> subtitle: </v>
          </cell>
          <cell r="K40" t="str">
            <v>"</v>
          </cell>
          <cell r="L40" t="str">
            <v>Lucas 1,67-80</v>
          </cell>
          <cell r="M40" t="str">
            <v xml:space="preserve">", </v>
          </cell>
          <cell r="N40" t="str">
            <v xml:space="preserve">category: </v>
          </cell>
          <cell r="O40" t="str">
            <v>"</v>
          </cell>
          <cell r="P40" t="str">
            <v>PRECATECUMENADO</v>
          </cell>
          <cell r="Q40" t="str">
            <v>"</v>
          </cell>
          <cell r="R40" t="str">
            <v>, moments: [</v>
          </cell>
          <cell r="S40" t="str">
            <v>"</v>
          </cell>
          <cell r="AE40" t="str">
            <v>"], url: "</v>
          </cell>
          <cell r="AF40" t="str">
            <v>/cantos/resucito/b/benedictus.html</v>
          </cell>
          <cell r="AG40" t="str">
            <v>/cantos/resucito/b/benedictus.html</v>
          </cell>
          <cell r="AH40" t="str">
            <v>"},</v>
          </cell>
          <cell r="AI40" t="str">
            <v>b</v>
          </cell>
          <cell r="AJ40" t="str">
            <v>p</v>
          </cell>
          <cell r="AK40" t="str">
            <v>{id:37,title: "benedictusBenedictus", subtitle: "Lucas 1,67-80", category: "PRECATECUMENADO", moments: [""], url: "/cantos/resucito/b/benedictus.html/cantos/resucito/b/benedictus.html"},</v>
          </cell>
          <cell r="AL40" t="str">
            <v>BENEDICTUS</v>
          </cell>
          <cell r="AM40" t="str">
            <v>benedictus</v>
          </cell>
          <cell r="AN40" t="str">
            <v>Lucas 1,67-80</v>
          </cell>
          <cell r="AP40" t="str">
            <v>CANTO</v>
          </cell>
          <cell r="AQ40" t="str">
            <v>BENEDICTUS</v>
          </cell>
        </row>
        <row r="41">
          <cell r="A41">
            <v>31</v>
          </cell>
          <cell r="B41" t="str">
            <v>{id:</v>
          </cell>
          <cell r="C41">
            <v>38</v>
          </cell>
          <cell r="D41" t="str">
            <v>,</v>
          </cell>
          <cell r="E41" t="str">
            <v xml:space="preserve">title: </v>
          </cell>
          <cell r="F41" t="str">
            <v>"</v>
          </cell>
          <cell r="G41" t="str">
            <v>cantadadios</v>
          </cell>
          <cell r="H41" t="str">
            <v>Cantad a Dios</v>
          </cell>
          <cell r="I41" t="str">
            <v>",</v>
          </cell>
          <cell r="J41" t="str">
            <v xml:space="preserve"> subtitle: </v>
          </cell>
          <cell r="K41" t="str">
            <v>"</v>
          </cell>
          <cell r="L41" t="str">
            <v>Salmo 67 (68) 2.4-7</v>
          </cell>
          <cell r="M41" t="str">
            <v xml:space="preserve">", </v>
          </cell>
          <cell r="N41" t="str">
            <v xml:space="preserve">category: </v>
          </cell>
          <cell r="O41" t="str">
            <v>"</v>
          </cell>
          <cell r="P41" t="str">
            <v>PRECATECUMENADO</v>
          </cell>
          <cell r="Q41" t="str">
            <v>"</v>
          </cell>
          <cell r="R41" t="str">
            <v>, moments: [</v>
          </cell>
          <cell r="S41" t="str">
            <v>"</v>
          </cell>
          <cell r="T41" t="str">
            <v>Laudes/Visperas</v>
          </cell>
          <cell r="U41" t="str">
            <v>", "</v>
          </cell>
          <cell r="V41" t="str">
            <v>Nuevo Testamento</v>
          </cell>
          <cell r="AE41" t="str">
            <v>"], url: "</v>
          </cell>
          <cell r="AF41" t="str">
            <v>/cantos/resucito/c/cantadadios.html</v>
          </cell>
          <cell r="AG41" t="str">
            <v>/cantos/resucito/c/cantadadios.html</v>
          </cell>
          <cell r="AH41" t="str">
            <v>"},</v>
          </cell>
          <cell r="AI41" t="str">
            <v>c</v>
          </cell>
          <cell r="AJ41" t="str">
            <v>p</v>
          </cell>
          <cell r="AK41" t="str">
            <v>{id:38,title: "cantadadiosCantad a Dios", subtitle: "Salmo 67 (68) 2.4-7", category: "PRECATECUMENADO", moments: ["Laudes/Visperas", "Nuevo Testamento"], url: "/cantos/resucito/c/cantadadios.html/cantos/resucito/c/cantadadios.html"},</v>
          </cell>
          <cell r="AL41" t="str">
            <v>CANTAD A DIOS</v>
          </cell>
          <cell r="AM41" t="str">
            <v>cantadadios</v>
          </cell>
          <cell r="AN41" t="str">
            <v>Salmo 67 (68) 2.4-7</v>
          </cell>
          <cell r="AP41" t="str">
            <v>CANTO</v>
          </cell>
          <cell r="AQ41" t="str">
            <v>CANTAD A DIOS</v>
          </cell>
        </row>
        <row r="42">
          <cell r="A42">
            <v>32</v>
          </cell>
          <cell r="B42" t="str">
            <v>{id:</v>
          </cell>
          <cell r="C42">
            <v>39</v>
          </cell>
          <cell r="D42" t="str">
            <v>,</v>
          </cell>
          <cell r="E42" t="str">
            <v xml:space="preserve">title: </v>
          </cell>
          <cell r="F42" t="str">
            <v>"</v>
          </cell>
          <cell r="G42" t="str">
            <v>cantadalsenor</v>
          </cell>
          <cell r="H42" t="str">
            <v>Cantad al Señor</v>
          </cell>
          <cell r="I42" t="str">
            <v>",</v>
          </cell>
          <cell r="J42" t="str">
            <v xml:space="preserve"> subtitle: </v>
          </cell>
          <cell r="K42" t="str">
            <v>"</v>
          </cell>
          <cell r="L42" t="str">
            <v>Salmo 117 (116)</v>
          </cell>
          <cell r="M42" t="str">
            <v xml:space="preserve">", </v>
          </cell>
          <cell r="N42" t="str">
            <v xml:space="preserve">category: </v>
          </cell>
          <cell r="O42" t="str">
            <v>"</v>
          </cell>
          <cell r="P42" t="str">
            <v>PRECATECUMENADO</v>
          </cell>
          <cell r="Q42" t="str">
            <v>"</v>
          </cell>
          <cell r="R42" t="str">
            <v>, moments: [</v>
          </cell>
          <cell r="S42" t="str">
            <v>"</v>
          </cell>
          <cell r="T42" t="str">
            <v>Cuaresma</v>
          </cell>
          <cell r="U42" t="str">
            <v>", "</v>
          </cell>
          <cell r="V42" t="str">
            <v>Laudes/Visperas</v>
          </cell>
          <cell r="W42" t="str">
            <v>", "</v>
          </cell>
          <cell r="X42" t="str">
            <v>Antiguo Testamento</v>
          </cell>
          <cell r="AE42" t="str">
            <v>"], url: "</v>
          </cell>
          <cell r="AF42" t="str">
            <v>/cantos/resucito/c/cantadalsenor.html</v>
          </cell>
          <cell r="AG42" t="str">
            <v>/cantos/resucito/c/cantadalsenor.html</v>
          </cell>
          <cell r="AH42" t="str">
            <v>"},</v>
          </cell>
          <cell r="AI42" t="str">
            <v>c</v>
          </cell>
          <cell r="AJ42" t="str">
            <v>p</v>
          </cell>
          <cell r="AK42" t="str">
            <v>{id:39,title: "cantadalsenorCantad al Señor", subtitle: "Salmo 117 (116)", category: "PRECATECUMENADO", moments: ["Cuaresma", "Laudes/Visperas", "Antiguo Testamento"], url: "/cantos/resucito/c/cantadalsenor.html/cantos/resucito/c/cantadalsenor.html"},</v>
          </cell>
          <cell r="AL42" t="str">
            <v>CANTAD AL SEÑOR</v>
          </cell>
          <cell r="AM42" t="str">
            <v>cantadalseñor</v>
          </cell>
          <cell r="AN42" t="str">
            <v>Salmo 117 (116)</v>
          </cell>
          <cell r="AP42" t="str">
            <v>CANTO</v>
          </cell>
          <cell r="AQ42" t="str">
            <v>CANTAD AL SEÑOR</v>
          </cell>
        </row>
        <row r="43">
          <cell r="A43">
            <v>33</v>
          </cell>
          <cell r="B43" t="str">
            <v>{id:</v>
          </cell>
          <cell r="C43">
            <v>40</v>
          </cell>
          <cell r="D43" t="str">
            <v>,</v>
          </cell>
          <cell r="E43" t="str">
            <v xml:space="preserve">title: </v>
          </cell>
          <cell r="F43" t="str">
            <v>"</v>
          </cell>
          <cell r="G43" t="str">
            <v>canticodelostresjovenes</v>
          </cell>
          <cell r="H43" t="str">
            <v>Cántico de los tres jóvenes</v>
          </cell>
          <cell r="I43" t="str">
            <v>",</v>
          </cell>
          <cell r="J43" t="str">
            <v xml:space="preserve"> subtitle: </v>
          </cell>
          <cell r="K43" t="str">
            <v>"</v>
          </cell>
          <cell r="L43" t="str">
            <v>Daniel 3,57-58</v>
          </cell>
          <cell r="M43" t="str">
            <v xml:space="preserve">", </v>
          </cell>
          <cell r="N43" t="str">
            <v xml:space="preserve">category: </v>
          </cell>
          <cell r="O43" t="str">
            <v>"</v>
          </cell>
          <cell r="P43" t="str">
            <v>PRECATECUMENADO</v>
          </cell>
          <cell r="Q43" t="str">
            <v>"</v>
          </cell>
          <cell r="R43" t="str">
            <v>, moments: [</v>
          </cell>
          <cell r="S43" t="str">
            <v>"</v>
          </cell>
          <cell r="T43" t="str">
            <v>Laudes/Visperas</v>
          </cell>
          <cell r="U43" t="str">
            <v>", "</v>
          </cell>
          <cell r="V43" t="str">
            <v>Entrada</v>
          </cell>
          <cell r="W43" t="str">
            <v>", "</v>
          </cell>
          <cell r="X43" t="str">
            <v>Final</v>
          </cell>
          <cell r="Y43" t="str">
            <v>", "</v>
          </cell>
          <cell r="Z43" t="str">
            <v>Antiguo Testamento</v>
          </cell>
          <cell r="AE43" t="str">
            <v>"], url: "</v>
          </cell>
          <cell r="AF43" t="str">
            <v>/cantos/resucito/c/canticodelostresjovenes.html</v>
          </cell>
          <cell r="AG43" t="str">
            <v>/cantos/resucito/c/canticodelostresjovenes.html</v>
          </cell>
          <cell r="AH43" t="str">
            <v>"},</v>
          </cell>
          <cell r="AI43" t="str">
            <v>c</v>
          </cell>
          <cell r="AJ43" t="str">
            <v>p</v>
          </cell>
          <cell r="AK43" t="str">
            <v>{id:40,title: "canticodelostresjovenesCántico de los tres jóvenes", subtitle: "Daniel 3,57-58", category: "PRECATECUMENADO", moments: ["Laudes/Visperas", "Entrada", "Final", "Antiguo Testamento"], url: "/cantos/resucito/c/canticodelostresjovenes.html/cantos/resucito/c/canticodelostresjovenes.html"},</v>
          </cell>
          <cell r="AL43" t="str">
            <v>CÁNTICO DE LOS TRES JÓVENES</v>
          </cell>
          <cell r="AM43" t="str">
            <v>cánticodelostresjóvenes</v>
          </cell>
          <cell r="AN43" t="str">
            <v>Daniel 3,57-58</v>
          </cell>
          <cell r="AP43" t="str">
            <v>CANTO</v>
          </cell>
          <cell r="AQ43" t="str">
            <v>CÁNTICO DE LOS TRES JÓVENES</v>
          </cell>
        </row>
        <row r="44">
          <cell r="A44">
            <v>34</v>
          </cell>
          <cell r="B44" t="str">
            <v>{id:</v>
          </cell>
          <cell r="C44">
            <v>41</v>
          </cell>
          <cell r="D44" t="str">
            <v>,</v>
          </cell>
          <cell r="E44" t="str">
            <v xml:space="preserve">title: </v>
          </cell>
          <cell r="F44" t="str">
            <v>"</v>
          </cell>
          <cell r="G44" t="str">
            <v>cantodemoises</v>
          </cell>
          <cell r="H44" t="str">
            <v>Canto de Moisés</v>
          </cell>
          <cell r="I44" t="str">
            <v>",</v>
          </cell>
          <cell r="J44" t="str">
            <v xml:space="preserve"> subtitle: </v>
          </cell>
          <cell r="K44" t="str">
            <v>"</v>
          </cell>
          <cell r="L44" t="str">
            <v>Éxodo 15,1-18</v>
          </cell>
          <cell r="M44" t="str">
            <v xml:space="preserve">", </v>
          </cell>
          <cell r="N44" t="str">
            <v xml:space="preserve">category: </v>
          </cell>
          <cell r="O44" t="str">
            <v>"</v>
          </cell>
          <cell r="P44" t="str">
            <v>PRECATECUMENADO</v>
          </cell>
          <cell r="Q44" t="str">
            <v>"</v>
          </cell>
          <cell r="R44" t="str">
            <v>, moments: [</v>
          </cell>
          <cell r="S44" t="str">
            <v>"</v>
          </cell>
          <cell r="T44" t="str">
            <v>Laudes/Visperas</v>
          </cell>
          <cell r="U44" t="str">
            <v>", "</v>
          </cell>
          <cell r="V44" t="str">
            <v>Antiguo Testamento</v>
          </cell>
          <cell r="AE44" t="str">
            <v>"], url: "</v>
          </cell>
          <cell r="AF44" t="str">
            <v>/cantos/resucito/c/cantodemoises.html</v>
          </cell>
          <cell r="AG44" t="str">
            <v>/cantos/resucito/c/cantodemoises.html</v>
          </cell>
          <cell r="AH44" t="str">
            <v>"},</v>
          </cell>
          <cell r="AI44" t="str">
            <v>c</v>
          </cell>
          <cell r="AJ44" t="str">
            <v>p</v>
          </cell>
          <cell r="AK44" t="str">
            <v>{id:41,title: "cantodemoisesCanto de Moisés", subtitle: "Éxodo 15,1-18", category: "PRECATECUMENADO", moments: ["Laudes/Visperas", "Antiguo Testamento"], url: "/cantos/resucito/c/cantodemoises.html/cantos/resucito/c/cantodemoises.html"},</v>
          </cell>
          <cell r="AL44" t="str">
            <v>CANTO DE MOISÉS</v>
          </cell>
          <cell r="AM44" t="str">
            <v>cantodemoisés</v>
          </cell>
          <cell r="AN44" t="str">
            <v>Éxodo 15,1-18</v>
          </cell>
          <cell r="AP44" t="str">
            <v>CANTO</v>
          </cell>
          <cell r="AQ44" t="str">
            <v>CANTO DE MOISÉS</v>
          </cell>
        </row>
        <row r="45">
          <cell r="A45">
            <v>35</v>
          </cell>
          <cell r="B45" t="str">
            <v>{id:</v>
          </cell>
          <cell r="C45">
            <v>42</v>
          </cell>
          <cell r="D45" t="str">
            <v>,</v>
          </cell>
          <cell r="E45" t="str">
            <v xml:space="preserve">title: </v>
          </cell>
          <cell r="F45" t="str">
            <v>"</v>
          </cell>
          <cell r="G45" t="str">
            <v>caritaschristiurgetnos</v>
          </cell>
          <cell r="H45" t="str">
            <v>Caritas Christi urget nos</v>
          </cell>
          <cell r="I45" t="str">
            <v>",</v>
          </cell>
          <cell r="J45" t="str">
            <v xml:space="preserve"> subtitle: </v>
          </cell>
          <cell r="K45" t="str">
            <v>"</v>
          </cell>
          <cell r="L45" t="str">
            <v>2ª Corintios 5,14.15.17.21</v>
          </cell>
          <cell r="M45" t="str">
            <v xml:space="preserve">", </v>
          </cell>
          <cell r="N45" t="str">
            <v xml:space="preserve">category: </v>
          </cell>
          <cell r="O45" t="str">
            <v>"</v>
          </cell>
          <cell r="P45" t="str">
            <v>PRECATECUMENADO</v>
          </cell>
          <cell r="Q45" t="str">
            <v>"</v>
          </cell>
          <cell r="R45" t="str">
            <v>, moments: [</v>
          </cell>
          <cell r="S45" t="str">
            <v>"</v>
          </cell>
          <cell r="T45" t="str">
            <v>Pascua</v>
          </cell>
          <cell r="U45" t="str">
            <v>", "</v>
          </cell>
          <cell r="V45" t="str">
            <v>Antiguo Testamento</v>
          </cell>
          <cell r="AE45" t="str">
            <v>"], url: "</v>
          </cell>
          <cell r="AF45" t="str">
            <v>/cantos/resucito/c/caritaschristiurgetnos.html</v>
          </cell>
          <cell r="AG45" t="str">
            <v>/cantos/resucito/c/caritaschristiurgetnos.html</v>
          </cell>
          <cell r="AH45" t="str">
            <v>"},</v>
          </cell>
          <cell r="AI45" t="str">
            <v>c</v>
          </cell>
          <cell r="AJ45" t="str">
            <v>p</v>
          </cell>
          <cell r="AK45" t="str">
            <v>{id:42,title: "caritaschristiurgetnosCaritas Christi urget nos", subtitle: "2ª Corintios 5,14.15.17.21", category: "PRECATECUMENADO", moments: ["Pascua", "Antiguo Testamento"], url: "/cantos/resucito/c/caritaschristiurgetnos.html/cantos/resucito/c/caritaschristiurgetnos.html"},</v>
          </cell>
          <cell r="AL45" t="str">
            <v>CARITAS CHRISTI URGET NOS</v>
          </cell>
          <cell r="AM45" t="str">
            <v>caritaschristiurgetnos</v>
          </cell>
          <cell r="AN45" t="str">
            <v>2ª Corintios 5,14.15.17.21</v>
          </cell>
          <cell r="AP45" t="str">
            <v>CANTO</v>
          </cell>
          <cell r="AQ45" t="str">
            <v>CARITAS CHRISTI URGET NOS</v>
          </cell>
        </row>
        <row r="46">
          <cell r="A46">
            <v>36</v>
          </cell>
          <cell r="B46" t="str">
            <v>{id:</v>
          </cell>
          <cell r="C46">
            <v>43</v>
          </cell>
          <cell r="D46" t="str">
            <v>,</v>
          </cell>
          <cell r="E46" t="str">
            <v xml:space="preserve">title: </v>
          </cell>
          <cell r="F46" t="str">
            <v>"</v>
          </cell>
          <cell r="G46" t="str">
            <v>carmen63(estanrotasmisataduras)</v>
          </cell>
          <cell r="H46" t="str">
            <v>Carmen 63 - (ESTÁN ROTAS MIS ATADURAS )</v>
          </cell>
          <cell r="I46" t="str">
            <v>",</v>
          </cell>
          <cell r="J46" t="str">
            <v xml:space="preserve"> subtitle: </v>
          </cell>
          <cell r="K46" t="str">
            <v>"</v>
          </cell>
          <cell r="L46" t="str">
            <v>(Rabindranath Tagore)*</v>
          </cell>
          <cell r="M46" t="str">
            <v xml:space="preserve">", </v>
          </cell>
          <cell r="N46" t="str">
            <v xml:space="preserve">category: </v>
          </cell>
          <cell r="O46" t="str">
            <v>"</v>
          </cell>
          <cell r="P46" t="str">
            <v>PRECATECUMENADO</v>
          </cell>
          <cell r="Q46" t="str">
            <v>"</v>
          </cell>
          <cell r="R46" t="str">
            <v>, moments: [</v>
          </cell>
          <cell r="S46" t="str">
            <v>"</v>
          </cell>
          <cell r="T46" t="str">
            <v>Nuevo Testamento</v>
          </cell>
          <cell r="AE46" t="str">
            <v>"], url: "</v>
          </cell>
          <cell r="AF46" t="str">
            <v>/cantos/resucito/c/carmen63-(estanrotasmisataduras).html</v>
          </cell>
          <cell r="AG46" t="str">
            <v>/cantos/resucito/c/carmen63-(estanrotasmisataduras).html</v>
          </cell>
          <cell r="AH46" t="str">
            <v>"},</v>
          </cell>
          <cell r="AI46" t="str">
            <v>c</v>
          </cell>
          <cell r="AJ46" t="str">
            <v>p</v>
          </cell>
          <cell r="AK46" t="str">
            <v>{id:43,title: "carmen63(estanrotasmisataduras)Carmen 63 - (ESTÁN ROTAS MIS ATADURAS )", subtitle: "(Rabindranath Tagore)*", category: "PRECATECUMENADO", moments: ["Nuevo Testamento"], url: "/cantos/resucito/c/carmen63-(estanrotasmisataduras).html/cantos/resucito/c/carmen63-(estanrotasmisataduras).html"},</v>
          </cell>
          <cell r="AL46" t="str">
            <v>CARMEN 63 - (ESTÁN ROTAS MIS ATADURAS )</v>
          </cell>
          <cell r="AM46" t="str">
            <v>carmen63-(estánrotasmisataduras)</v>
          </cell>
          <cell r="AN46" t="str">
            <v>(Rabindranath Tagore)*</v>
          </cell>
          <cell r="AP46" t="str">
            <v>CANTO</v>
          </cell>
          <cell r="AQ46" t="str">
            <v>CARMEN 63 - (ESTÁN ROTAS MIS ATADURAS )</v>
          </cell>
        </row>
        <row r="47">
          <cell r="A47">
            <v>185</v>
          </cell>
          <cell r="B47" t="str">
            <v>{id:</v>
          </cell>
          <cell r="C47">
            <v>44</v>
          </cell>
          <cell r="D47" t="str">
            <v>,</v>
          </cell>
          <cell r="E47" t="str">
            <v xml:space="preserve">title: </v>
          </cell>
          <cell r="F47" t="str">
            <v>"</v>
          </cell>
          <cell r="G47" t="str">
            <v>celebracionpenitencial(bendicionpenitencial)</v>
          </cell>
          <cell r="H47" t="str">
            <v>Celebración penitencial (Bendición penitencial )</v>
          </cell>
          <cell r="I47" t="str">
            <v>",</v>
          </cell>
          <cell r="J47" t="str">
            <v xml:space="preserve"> subtitle: </v>
          </cell>
          <cell r="K47" t="str">
            <v>"</v>
          </cell>
          <cell r="L47" t="str">
            <v>Acción de gracias</v>
          </cell>
          <cell r="M47" t="str">
            <v xml:space="preserve">", </v>
          </cell>
          <cell r="N47" t="str">
            <v xml:space="preserve">category: </v>
          </cell>
          <cell r="O47" t="str">
            <v>"</v>
          </cell>
          <cell r="P47" t="str">
            <v>LITÚRGICOS</v>
          </cell>
          <cell r="Q47" t="str">
            <v>"</v>
          </cell>
          <cell r="R47" t="str">
            <v>, moments: [</v>
          </cell>
          <cell r="S47" t="str">
            <v>"</v>
          </cell>
          <cell r="T47" t="str">
            <v>Nuevo Testamento</v>
          </cell>
          <cell r="AE47" t="str">
            <v>"], url: "</v>
          </cell>
          <cell r="AF47" t="str">
            <v>/cantos/resucito/c/celebracionpenitencial(bendicionpenitencial).html</v>
          </cell>
          <cell r="AG47" t="str">
            <v>/cantos/resucito/c/celebracionpenitencial(bendicionpenitencial).html</v>
          </cell>
          <cell r="AH47" t="str">
            <v>"},</v>
          </cell>
          <cell r="AI47" t="str">
            <v>c</v>
          </cell>
          <cell r="AJ47" t="str">
            <v>l</v>
          </cell>
          <cell r="AK47" t="str">
            <v>{id:44,title: "celebracionpenitencial(bendicionpenitencial)Celebración penitencial (Bendición penitencial )", subtitle: "Acción de gracias", category: "LITÚRGICOS", moments: ["Nuevo Testamento"], url: "/cantos/resucito/c/celebracionpenitencial(bendicionpenitencial).html/cantos/resucito/c/celebracionpenitencial(bendicionpenitencial).html"},</v>
          </cell>
          <cell r="AL47" t="str">
            <v>CELEBRACIÓN PENITENCIAL (BENDICIÓN PENITENCIAL )</v>
          </cell>
          <cell r="AM47" t="str">
            <v>celebraciónpenitencial(bendiciónpenitencial)</v>
          </cell>
          <cell r="AN47" t="str">
            <v>Acción de gracias</v>
          </cell>
          <cell r="AP47" t="str">
            <v>CANTO</v>
          </cell>
          <cell r="AQ47" t="str">
            <v>CELEBRACIÓN PENITENCIAL (BENDICIÓN PENITENCIAL )</v>
          </cell>
        </row>
        <row r="48">
          <cell r="A48">
            <v>37</v>
          </cell>
          <cell r="B48" t="str">
            <v>{id:</v>
          </cell>
          <cell r="C48">
            <v>45</v>
          </cell>
          <cell r="D48" t="str">
            <v>,</v>
          </cell>
          <cell r="E48" t="str">
            <v xml:space="preserve">title: </v>
          </cell>
          <cell r="F48" t="str">
            <v>"</v>
          </cell>
          <cell r="G48" t="str">
            <v>comocondenadosamuerte</v>
          </cell>
          <cell r="H48" t="str">
            <v>Como condenados a muerte</v>
          </cell>
          <cell r="I48" t="str">
            <v>",</v>
          </cell>
          <cell r="J48" t="str">
            <v xml:space="preserve"> subtitle: </v>
          </cell>
          <cell r="K48" t="str">
            <v>"</v>
          </cell>
          <cell r="L48" t="str">
            <v>1ª Corintios 4,9-13</v>
          </cell>
          <cell r="M48" t="str">
            <v xml:space="preserve">", </v>
          </cell>
          <cell r="N48" t="str">
            <v xml:space="preserve">category: </v>
          </cell>
          <cell r="O48" t="str">
            <v>"</v>
          </cell>
          <cell r="P48" t="str">
            <v>PRECATECUMENADO</v>
          </cell>
          <cell r="Q48" t="str">
            <v>"</v>
          </cell>
          <cell r="R48" t="str">
            <v>, moments: [</v>
          </cell>
          <cell r="S48" t="str">
            <v>"</v>
          </cell>
          <cell r="T48" t="str">
            <v>Pascua</v>
          </cell>
          <cell r="U48" t="str">
            <v>", "</v>
          </cell>
          <cell r="V48" t="str">
            <v>Comunión</v>
          </cell>
          <cell r="AE48" t="str">
            <v>"], url: "</v>
          </cell>
          <cell r="AF48" t="str">
            <v>/cantos/resucito/c/comocondenadosamuerte.html</v>
          </cell>
          <cell r="AG48" t="str">
            <v>/cantos/resucito/c/comocondenadosamuerte.html</v>
          </cell>
          <cell r="AH48" t="str">
            <v>"},</v>
          </cell>
          <cell r="AI48" t="str">
            <v>c</v>
          </cell>
          <cell r="AJ48" t="str">
            <v>p</v>
          </cell>
          <cell r="AK48" t="str">
            <v>{id:45,title: "comocondenadosamuerteComo condenados a muerte", subtitle: "1ª Corintios 4,9-13", category: "PRECATECUMENADO", moments: ["Pascua", "Comunión"], url: "/cantos/resucito/c/comocondenadosamuerte.html/cantos/resucito/c/comocondenadosamuerte.html"},</v>
          </cell>
          <cell r="AL48" t="str">
            <v>COMO CONDENADOS A MUERTE</v>
          </cell>
          <cell r="AM48" t="str">
            <v>comocondenadosamuerte</v>
          </cell>
          <cell r="AN48" t="str">
            <v>1ª Corintios 4,9-13</v>
          </cell>
          <cell r="AP48" t="str">
            <v>CANTO</v>
          </cell>
          <cell r="AQ48" t="str">
            <v>COMO CONDENADOS A MUERTE</v>
          </cell>
        </row>
        <row r="49">
          <cell r="A49">
            <v>239</v>
          </cell>
          <cell r="B49" t="str">
            <v>{id:</v>
          </cell>
          <cell r="C49">
            <v>46</v>
          </cell>
          <cell r="D49" t="str">
            <v>,</v>
          </cell>
          <cell r="E49" t="str">
            <v xml:space="preserve">title: </v>
          </cell>
          <cell r="F49" t="str">
            <v>"</v>
          </cell>
          <cell r="G49" t="str">
            <v>comodestilalamiel</v>
          </cell>
          <cell r="H49" t="str">
            <v>Como destila la miel</v>
          </cell>
          <cell r="I49" t="str">
            <v>",</v>
          </cell>
          <cell r="J49" t="str">
            <v xml:space="preserve"> subtitle: </v>
          </cell>
          <cell r="K49" t="str">
            <v>"</v>
          </cell>
          <cell r="L49" t="str">
            <v>Oda XL de Salomón</v>
          </cell>
          <cell r="M49" t="str">
            <v xml:space="preserve">", </v>
          </cell>
          <cell r="N49" t="str">
            <v xml:space="preserve">category: </v>
          </cell>
          <cell r="O49" t="str">
            <v>"</v>
          </cell>
          <cell r="P49" t="str">
            <v>ELECCIÓN</v>
          </cell>
          <cell r="Q49" t="str">
            <v>"</v>
          </cell>
          <cell r="R49" t="str">
            <v>, moments: [</v>
          </cell>
          <cell r="S49" t="str">
            <v>"</v>
          </cell>
          <cell r="T49" t="str">
            <v>Laudes/Visperas</v>
          </cell>
          <cell r="U49" t="str">
            <v>", "</v>
          </cell>
          <cell r="V49" t="str">
            <v>Entrada</v>
          </cell>
          <cell r="W49" t="str">
            <v>", "</v>
          </cell>
          <cell r="X49" t="str">
            <v>Comunión</v>
          </cell>
          <cell r="AE49" t="str">
            <v>"], url: "</v>
          </cell>
          <cell r="AF49" t="str">
            <v>/cantos/resucito/c/comodestilalamiel.html</v>
          </cell>
          <cell r="AG49" t="str">
            <v>/cantos/resucito/c/comodestilalamiel.html</v>
          </cell>
          <cell r="AH49" t="str">
            <v>"},</v>
          </cell>
          <cell r="AI49" t="str">
            <v>c</v>
          </cell>
          <cell r="AJ49" t="str">
            <v>e</v>
          </cell>
          <cell r="AK49" t="str">
            <v>{id:46,title: "comodestilalamielComo destila la miel", subtitle: "Oda XL de Salomón", category: "ELECCIÓN", moments: ["Laudes/Visperas", "Entrada", "Comunión"], url: "/cantos/resucito/c/comodestilalamiel.html/cantos/resucito/c/comodestilalamiel.html"},</v>
          </cell>
          <cell r="AL49" t="str">
            <v>COMO DESTILA LA MIEL</v>
          </cell>
          <cell r="AM49" t="str">
            <v>comodestilalamiel</v>
          </cell>
          <cell r="AN49" t="str">
            <v>Oda XL de Salomón</v>
          </cell>
          <cell r="AP49" t="str">
            <v>CANTO</v>
          </cell>
          <cell r="AQ49" t="str">
            <v>COMO DESTILA LA MIEL</v>
          </cell>
        </row>
        <row r="50">
          <cell r="A50">
            <v>221</v>
          </cell>
          <cell r="B50" t="str">
            <v>{id:</v>
          </cell>
          <cell r="C50">
            <v>47</v>
          </cell>
          <cell r="D50" t="str">
            <v>,</v>
          </cell>
          <cell r="E50" t="str">
            <v xml:space="preserve">title: </v>
          </cell>
          <cell r="F50" t="str">
            <v>"</v>
          </cell>
          <cell r="G50" t="str">
            <v>comoelimpulsoquesientelaira</v>
          </cell>
          <cell r="H50" t="str">
            <v>Como el impulso que siente la ira</v>
          </cell>
          <cell r="I50" t="str">
            <v>",</v>
          </cell>
          <cell r="J50" t="str">
            <v xml:space="preserve"> subtitle: </v>
          </cell>
          <cell r="K50" t="str">
            <v>"</v>
          </cell>
          <cell r="L50" t="str">
            <v>Oda VII de Salomón</v>
          </cell>
          <cell r="M50" t="str">
            <v xml:space="preserve">", </v>
          </cell>
          <cell r="N50" t="str">
            <v xml:space="preserve">category: </v>
          </cell>
          <cell r="O50" t="str">
            <v>"</v>
          </cell>
          <cell r="P50" t="str">
            <v>CATECUMENADO</v>
          </cell>
          <cell r="Q50" t="str">
            <v>"</v>
          </cell>
          <cell r="R50" t="str">
            <v>, moments: [</v>
          </cell>
          <cell r="S50" t="str">
            <v>"</v>
          </cell>
          <cell r="T50" t="str">
            <v>Paz</v>
          </cell>
          <cell r="U50" t="str">
            <v>", "</v>
          </cell>
          <cell r="V50" t="str">
            <v>Antiguo Testamento</v>
          </cell>
          <cell r="AE50" t="str">
            <v>"], url: "</v>
          </cell>
          <cell r="AF50" t="str">
            <v>/cantos/resucito/c/comoelimpulsoquesientelaira.html</v>
          </cell>
          <cell r="AG50" t="str">
            <v>/cantos/resucito/c/comoelimpulsoquesientelaira.html</v>
          </cell>
          <cell r="AH50" t="str">
            <v>"},</v>
          </cell>
          <cell r="AI50" t="str">
            <v>c</v>
          </cell>
          <cell r="AJ50" t="str">
            <v>c</v>
          </cell>
          <cell r="AK50" t="str">
            <v>{id:47,title: "comoelimpulsoquesientelairaComo el impulso que siente la ira", subtitle: "Oda VII de Salomón", category: "CATECUMENADO", moments: ["Paz", "Antiguo Testamento"], url: "/cantos/resucito/c/comoelimpulsoquesientelaira.html/cantos/resucito/c/comoelimpulsoquesientelaira.html"},</v>
          </cell>
          <cell r="AL50" t="str">
            <v>COMO EL IMPULSO QUE SIENTE LA IRA</v>
          </cell>
          <cell r="AM50" t="str">
            <v>comoelimpulsoquesientelaira</v>
          </cell>
          <cell r="AN50" t="str">
            <v>Oda VII de Salomón</v>
          </cell>
          <cell r="AP50" t="str">
            <v>CANTO</v>
          </cell>
          <cell r="AQ50" t="str">
            <v>COMO EL IMPULSO QUE SIENTE LA IRA</v>
          </cell>
        </row>
        <row r="51">
          <cell r="A51">
            <v>38</v>
          </cell>
          <cell r="B51" t="str">
            <v>{id:</v>
          </cell>
          <cell r="C51">
            <v>48</v>
          </cell>
          <cell r="D51" t="str">
            <v>,</v>
          </cell>
          <cell r="E51" t="str">
            <v xml:space="preserve">title: </v>
          </cell>
          <cell r="F51" t="str">
            <v>"</v>
          </cell>
          <cell r="G51" t="str">
            <v>comoesmaravilloso</v>
          </cell>
          <cell r="H51" t="str">
            <v>Cómo es maravilloso</v>
          </cell>
          <cell r="I51" t="str">
            <v>",</v>
          </cell>
          <cell r="J51" t="str">
            <v xml:space="preserve"> subtitle: </v>
          </cell>
          <cell r="K51" t="str">
            <v>"</v>
          </cell>
          <cell r="L51" t="str">
            <v>Salmo 133 (132)</v>
          </cell>
          <cell r="M51" t="str">
            <v xml:space="preserve">", </v>
          </cell>
          <cell r="N51" t="str">
            <v xml:space="preserve">category: </v>
          </cell>
          <cell r="O51" t="str">
            <v>"</v>
          </cell>
          <cell r="P51" t="str">
            <v>PRECATECUMENADO</v>
          </cell>
          <cell r="Q51" t="str">
            <v>"</v>
          </cell>
          <cell r="R51" t="str">
            <v>, moments: [</v>
          </cell>
          <cell r="S51" t="str">
            <v>"</v>
          </cell>
          <cell r="T51" t="str">
            <v>Cuaresma</v>
          </cell>
          <cell r="U51" t="str">
            <v>", "</v>
          </cell>
          <cell r="V51" t="str">
            <v>Laudes/Visperas</v>
          </cell>
          <cell r="W51" t="str">
            <v>", "</v>
          </cell>
          <cell r="X51" t="str">
            <v>Antiguo Testamento</v>
          </cell>
          <cell r="AE51" t="str">
            <v>"], url: "</v>
          </cell>
          <cell r="AF51" t="str">
            <v>/cantos/resucito/c/comoesmaravilloso.html</v>
          </cell>
          <cell r="AG51" t="str">
            <v>/cantos/resucito/c/comoesmaravilloso.html</v>
          </cell>
          <cell r="AH51" t="str">
            <v>"},</v>
          </cell>
          <cell r="AI51" t="str">
            <v>c</v>
          </cell>
          <cell r="AJ51" t="str">
            <v>p</v>
          </cell>
          <cell r="AK51" t="str">
            <v>{id:48,title: "comoesmaravillosoCómo es maravilloso", subtitle: "Salmo 133 (132)", category: "PRECATECUMENADO", moments: ["Cuaresma", "Laudes/Visperas", "Antiguo Testamento"], url: "/cantos/resucito/c/comoesmaravilloso.html/cantos/resucito/c/comoesmaravilloso.html"},</v>
          </cell>
          <cell r="AL51" t="str">
            <v>CÓMO ES MARAVILLOSO</v>
          </cell>
          <cell r="AM51" t="str">
            <v>cómoesmaravilloso</v>
          </cell>
          <cell r="AN51" t="str">
            <v>Salmo 133 (132)</v>
          </cell>
          <cell r="AP51" t="str">
            <v>CANTO</v>
          </cell>
          <cell r="AQ51" t="str">
            <v>CÓMO ES MARAVILLOSO</v>
          </cell>
        </row>
        <row r="52">
          <cell r="A52">
            <v>39</v>
          </cell>
          <cell r="B52" t="str">
            <v>{id:</v>
          </cell>
          <cell r="C52">
            <v>49</v>
          </cell>
          <cell r="D52" t="str">
            <v>,</v>
          </cell>
          <cell r="E52" t="str">
            <v xml:space="preserve">title: </v>
          </cell>
          <cell r="F52" t="str">
            <v>"</v>
          </cell>
          <cell r="G52" t="str">
            <v>comolacierva</v>
          </cell>
          <cell r="H52" t="str">
            <v>Como la cierva</v>
          </cell>
          <cell r="I52" t="str">
            <v>",</v>
          </cell>
          <cell r="J52" t="str">
            <v xml:space="preserve"> subtitle: </v>
          </cell>
          <cell r="K52" t="str">
            <v>"</v>
          </cell>
          <cell r="L52" t="str">
            <v>Salmo 42-43 (41-42)</v>
          </cell>
          <cell r="M52" t="str">
            <v xml:space="preserve">", </v>
          </cell>
          <cell r="N52" t="str">
            <v xml:space="preserve">category: </v>
          </cell>
          <cell r="O52" t="str">
            <v>"</v>
          </cell>
          <cell r="P52" t="str">
            <v>PRECATECUMENADO</v>
          </cell>
          <cell r="Q52" t="str">
            <v>"</v>
          </cell>
          <cell r="R52" t="str">
            <v>, moments: [</v>
          </cell>
          <cell r="S52" t="str">
            <v>"</v>
          </cell>
          <cell r="T52" t="str">
            <v>Pascua</v>
          </cell>
          <cell r="U52" t="str">
            <v>", "</v>
          </cell>
          <cell r="V52" t="str">
            <v>Comunión</v>
          </cell>
          <cell r="W52" t="str">
            <v>", "</v>
          </cell>
          <cell r="X52" t="str">
            <v>Antiguo Testamento</v>
          </cell>
          <cell r="AE52" t="str">
            <v>"], url: "</v>
          </cell>
          <cell r="AF52" t="str">
            <v>/cantos/resucito/c/comolacierva.html</v>
          </cell>
          <cell r="AG52" t="str">
            <v>/cantos/resucito/c/comolacierva.html</v>
          </cell>
          <cell r="AH52" t="str">
            <v>"},</v>
          </cell>
          <cell r="AI52" t="str">
            <v>c</v>
          </cell>
          <cell r="AJ52" t="str">
            <v>p</v>
          </cell>
          <cell r="AK52" t="str">
            <v>{id:49,title: "comolaciervaComo la cierva", subtitle: "Salmo 42-43 (41-42)", category: "PRECATECUMENADO", moments: ["Pascua", "Comunión", "Antiguo Testamento"], url: "/cantos/resucito/c/comolacierva.html/cantos/resucito/c/comolacierva.html"},</v>
          </cell>
          <cell r="AL52" t="str">
            <v>COMO LA CIERVA</v>
          </cell>
          <cell r="AM52" t="str">
            <v>comolacierva</v>
          </cell>
          <cell r="AN52" t="str">
            <v>Salmo 42-43 (41-42)</v>
          </cell>
          <cell r="AP52" t="str">
            <v>CANTO</v>
          </cell>
          <cell r="AQ52" t="str">
            <v>COMO LA CIERVA</v>
          </cell>
        </row>
        <row r="53">
          <cell r="A53">
            <v>240</v>
          </cell>
          <cell r="B53" t="str">
            <v>{id:</v>
          </cell>
          <cell r="C53">
            <v>50</v>
          </cell>
          <cell r="D53" t="str">
            <v>,</v>
          </cell>
          <cell r="E53" t="str">
            <v xml:space="preserve">title: </v>
          </cell>
          <cell r="F53" t="str">
            <v>"</v>
          </cell>
          <cell r="G53" t="str">
            <v>comolirioentreloscardos</v>
          </cell>
          <cell r="H53" t="str">
            <v>Como lirio entre los cardos</v>
          </cell>
          <cell r="I53" t="str">
            <v>",</v>
          </cell>
          <cell r="J53" t="str">
            <v xml:space="preserve"> subtitle: </v>
          </cell>
          <cell r="K53" t="str">
            <v>"</v>
          </cell>
          <cell r="L53" t="str">
            <v xml:space="preserve">Cantar de los cantares 1,13ss </v>
          </cell>
          <cell r="M53" t="str">
            <v xml:space="preserve">", </v>
          </cell>
          <cell r="N53" t="str">
            <v xml:space="preserve">category: </v>
          </cell>
          <cell r="O53" t="str">
            <v>"</v>
          </cell>
          <cell r="P53" t="str">
            <v>ELECCIÓN</v>
          </cell>
          <cell r="Q53" t="str">
            <v>"</v>
          </cell>
          <cell r="R53" t="str">
            <v>, moments: [</v>
          </cell>
          <cell r="S53" t="str">
            <v>"</v>
          </cell>
          <cell r="T53" t="str">
            <v>Adviento</v>
          </cell>
          <cell r="U53" t="str">
            <v>", "</v>
          </cell>
          <cell r="V53" t="str">
            <v>Entrada</v>
          </cell>
          <cell r="W53" t="str">
            <v>", "</v>
          </cell>
          <cell r="X53" t="str">
            <v>Paz</v>
          </cell>
          <cell r="Y53" t="str">
            <v>", "</v>
          </cell>
          <cell r="Z53" t="str">
            <v>Final</v>
          </cell>
          <cell r="AA53" t="str">
            <v>", "</v>
          </cell>
          <cell r="AB53" t="str">
            <v>Antiguo Testamento</v>
          </cell>
          <cell r="AE53" t="str">
            <v>"], url: "</v>
          </cell>
          <cell r="AF53" t="str">
            <v>/cantos/resucito/c/comolirioentreloscardos.html</v>
          </cell>
          <cell r="AG53" t="str">
            <v>/cantos/resucito/c/comolirioentreloscardos.html</v>
          </cell>
          <cell r="AH53" t="str">
            <v>"},</v>
          </cell>
          <cell r="AI53" t="str">
            <v>c</v>
          </cell>
          <cell r="AJ53" t="str">
            <v>e</v>
          </cell>
          <cell r="AK53" t="str">
            <v>{id:50,title: "comolirioentreloscardosComo lirio entre los cardos", subtitle: "Cantar de los cantares 1,13ss ", category: "ELECCIÓN", moments: ["Adviento", "Entrada", "Paz", "Final", "Antiguo Testamento"], url: "/cantos/resucito/c/comolirioentreloscardos.html/cantos/resucito/c/comolirioentreloscardos.html"},</v>
          </cell>
          <cell r="AL53" t="str">
            <v>COMO LIRIO ENTRE LOS CARDOS</v>
          </cell>
          <cell r="AM53" t="str">
            <v>comolirioentreloscardos</v>
          </cell>
          <cell r="AN53" t="str">
            <v xml:space="preserve">Cantar de los cantares 1,13ss </v>
          </cell>
          <cell r="AP53" t="str">
            <v>CANTO</v>
          </cell>
          <cell r="AQ53" t="str">
            <v>COMO LIRIO ENTRE LOS CARDOS</v>
          </cell>
        </row>
        <row r="54">
          <cell r="A54">
            <v>40</v>
          </cell>
          <cell r="B54" t="str">
            <v>{id:</v>
          </cell>
          <cell r="C54">
            <v>51</v>
          </cell>
          <cell r="D54" t="str">
            <v>,</v>
          </cell>
          <cell r="E54" t="str">
            <v xml:space="preserve">title: </v>
          </cell>
          <cell r="F54" t="str">
            <v>"</v>
          </cell>
          <cell r="G54" t="str">
            <v>comoovejaqueve</v>
          </cell>
          <cell r="H54" t="str">
            <v>Como oveja que ve</v>
          </cell>
          <cell r="I54" t="str">
            <v>",</v>
          </cell>
          <cell r="J54" t="str">
            <v xml:space="preserve"> subtitle: </v>
          </cell>
          <cell r="K54" t="str">
            <v>"</v>
          </cell>
          <cell r="L54" t="str">
            <v>Kontáklon (Romano el Meloda)</v>
          </cell>
          <cell r="M54" t="str">
            <v xml:space="preserve">", </v>
          </cell>
          <cell r="N54" t="str">
            <v xml:space="preserve">category: </v>
          </cell>
          <cell r="O54" t="str">
            <v>"</v>
          </cell>
          <cell r="P54" t="str">
            <v>PRECATECUMENADO</v>
          </cell>
          <cell r="Q54" t="str">
            <v>"</v>
          </cell>
          <cell r="R54" t="str">
            <v>, moments: [</v>
          </cell>
          <cell r="S54" t="str">
            <v>"</v>
          </cell>
          <cell r="T54" t="str">
            <v>Fracción del Pan</v>
          </cell>
          <cell r="AE54" t="str">
            <v>"], url: "</v>
          </cell>
          <cell r="AF54" t="str">
            <v>/cantos/resucito/c/comoovejaqueve.html</v>
          </cell>
          <cell r="AG54" t="str">
            <v>/cantos/resucito/c/comoovejaqueve.html</v>
          </cell>
          <cell r="AH54" t="str">
            <v>"},</v>
          </cell>
          <cell r="AI54" t="str">
            <v>c</v>
          </cell>
          <cell r="AJ54" t="str">
            <v>p</v>
          </cell>
          <cell r="AK54" t="str">
            <v>{id:51,title: "comoovejaqueveComo oveja que ve", subtitle: "Kontáklon (Romano el Meloda)", category: "PRECATECUMENADO", moments: ["Fracción del Pan"], url: "/cantos/resucito/c/comoovejaqueve.html/cantos/resucito/c/comoovejaqueve.html"},</v>
          </cell>
          <cell r="AL54" t="str">
            <v>COMO OVEJA QUE VE</v>
          </cell>
          <cell r="AM54" t="str">
            <v>comoovejaqueve</v>
          </cell>
          <cell r="AN54" t="str">
            <v>Kontáklon (Romano el Meloda)</v>
          </cell>
          <cell r="AP54" t="str">
            <v>CANTO</v>
          </cell>
          <cell r="AQ54" t="str">
            <v>COMO OVEJA QUE VE</v>
          </cell>
        </row>
        <row r="55">
          <cell r="A55">
            <v>41</v>
          </cell>
          <cell r="B55" t="str">
            <v>{id:</v>
          </cell>
          <cell r="C55">
            <v>52</v>
          </cell>
          <cell r="D55" t="str">
            <v>,</v>
          </cell>
          <cell r="E55" t="str">
            <v xml:space="preserve">title: </v>
          </cell>
          <cell r="F55" t="str">
            <v>"</v>
          </cell>
          <cell r="G55" t="str">
            <v>consoladamipueblo</v>
          </cell>
          <cell r="H55" t="str">
            <v>Consolad a mi pueblo</v>
          </cell>
          <cell r="I55" t="str">
            <v>",</v>
          </cell>
          <cell r="J55" t="str">
            <v xml:space="preserve"> subtitle: </v>
          </cell>
          <cell r="K55" t="str">
            <v>"</v>
          </cell>
          <cell r="L55" t="str">
            <v xml:space="preserve">Isaías 40,1-11 - Melodía hebraica </v>
          </cell>
          <cell r="M55" t="str">
            <v xml:space="preserve">", </v>
          </cell>
          <cell r="N55" t="str">
            <v xml:space="preserve">category: </v>
          </cell>
          <cell r="O55" t="str">
            <v>"</v>
          </cell>
          <cell r="P55" t="str">
            <v>PRECATECUMENADO</v>
          </cell>
          <cell r="Q55" t="str">
            <v>"</v>
          </cell>
          <cell r="R55" t="str">
            <v>, moments: [</v>
          </cell>
          <cell r="S55" t="str">
            <v>"</v>
          </cell>
          <cell r="AE55" t="str">
            <v>"], url: "</v>
          </cell>
          <cell r="AF55" t="str">
            <v>/cantos/resucito/c/consoladamipueblo.html</v>
          </cell>
          <cell r="AG55" t="str">
            <v>/cantos/resucito/c/consoladamipueblo.html</v>
          </cell>
          <cell r="AH55" t="str">
            <v>"},</v>
          </cell>
          <cell r="AI55" t="str">
            <v>c</v>
          </cell>
          <cell r="AJ55" t="str">
            <v>p</v>
          </cell>
          <cell r="AK55" t="str">
            <v>{id:52,title: "consoladamipuebloConsolad a mi pueblo", subtitle: "Isaías 40,1-11 - Melodía hebraica ", category: "PRECATECUMENADO", moments: [""], url: "/cantos/resucito/c/consoladamipueblo.html/cantos/resucito/c/consoladamipueblo.html"},</v>
          </cell>
          <cell r="AL55" t="str">
            <v>CONSOLAD A MI PUEBLO</v>
          </cell>
          <cell r="AM55" t="str">
            <v>consoladamipueblo</v>
          </cell>
          <cell r="AN55" t="str">
            <v xml:space="preserve">Isaías 40,1-11 - Melodía hebraica </v>
          </cell>
          <cell r="AP55" t="str">
            <v>CANTO</v>
          </cell>
          <cell r="AQ55" t="str">
            <v>CONSOLAD A MI PUEBLO</v>
          </cell>
        </row>
        <row r="56">
          <cell r="A56">
            <v>186</v>
          </cell>
          <cell r="B56" t="str">
            <v>{id:</v>
          </cell>
          <cell r="C56">
            <v>53</v>
          </cell>
          <cell r="D56" t="str">
            <v>,</v>
          </cell>
          <cell r="E56" t="str">
            <v xml:space="preserve">title: </v>
          </cell>
          <cell r="F56" t="str">
            <v>"</v>
          </cell>
          <cell r="G56" t="str">
            <v>corderodedios</v>
          </cell>
          <cell r="H56" t="str">
            <v>Cordero de Dios</v>
          </cell>
          <cell r="I56" t="str">
            <v>",</v>
          </cell>
          <cell r="J56" t="str">
            <v xml:space="preserve"> subtitle: </v>
          </cell>
          <cell r="K56" t="str">
            <v>"</v>
          </cell>
          <cell r="L56" t="str">
            <v>Después de la consagración</v>
          </cell>
          <cell r="M56" t="str">
            <v xml:space="preserve">", </v>
          </cell>
          <cell r="N56" t="str">
            <v xml:space="preserve">category: </v>
          </cell>
          <cell r="O56" t="str">
            <v>"</v>
          </cell>
          <cell r="P56" t="str">
            <v>LITÚRGICOS</v>
          </cell>
          <cell r="Q56" t="str">
            <v>"</v>
          </cell>
          <cell r="R56" t="str">
            <v>, moments: [</v>
          </cell>
          <cell r="S56" t="str">
            <v>"</v>
          </cell>
          <cell r="T56" t="str">
            <v>Entrada</v>
          </cell>
          <cell r="AE56" t="str">
            <v>"], url: "</v>
          </cell>
          <cell r="AF56" t="str">
            <v>/cantos/resucito/c/corderodedios.html</v>
          </cell>
          <cell r="AG56" t="str">
            <v>/cantos/resucito/c/corderodedios.html</v>
          </cell>
          <cell r="AH56" t="str">
            <v>"},</v>
          </cell>
          <cell r="AI56" t="str">
            <v>c</v>
          </cell>
          <cell r="AJ56" t="str">
            <v>l</v>
          </cell>
          <cell r="AK56" t="str">
            <v>{id:53,title: "corderodediosCordero de Dios", subtitle: "Después de la consagración", category: "LITÚRGICOS", moments: ["Entrada"], url: "/cantos/resucito/c/corderodedios.html/cantos/resucito/c/corderodedios.html"},</v>
          </cell>
          <cell r="AL56" t="str">
            <v>CORDERO DE DIOS</v>
          </cell>
          <cell r="AM56" t="str">
            <v>corderodedios</v>
          </cell>
          <cell r="AN56" t="str">
            <v>Después de la consagración</v>
          </cell>
          <cell r="AP56" t="str">
            <v>CANTO</v>
          </cell>
          <cell r="AQ56" t="str">
            <v>CORDERO DE DIOS</v>
          </cell>
        </row>
        <row r="57">
          <cell r="A57">
            <v>187</v>
          </cell>
          <cell r="B57" t="str">
            <v>{id:</v>
          </cell>
          <cell r="C57">
            <v>54</v>
          </cell>
          <cell r="D57" t="str">
            <v>,</v>
          </cell>
          <cell r="E57" t="str">
            <v xml:space="preserve">title: </v>
          </cell>
          <cell r="F57" t="str">
            <v>"</v>
          </cell>
          <cell r="G57" t="str">
            <v>credo</v>
          </cell>
          <cell r="H57" t="str">
            <v>Credo</v>
          </cell>
          <cell r="I57" t="str">
            <v>",</v>
          </cell>
          <cell r="J57" t="str">
            <v xml:space="preserve"> subtitle: </v>
          </cell>
          <cell r="K57" t="str">
            <v>"</v>
          </cell>
          <cell r="L57" t="str">
            <v>Símbolo Apostólico</v>
          </cell>
          <cell r="M57" t="str">
            <v xml:space="preserve">", </v>
          </cell>
          <cell r="N57" t="str">
            <v xml:space="preserve">category: </v>
          </cell>
          <cell r="O57" t="str">
            <v>"</v>
          </cell>
          <cell r="P57" t="str">
            <v>LITÚRGICOS</v>
          </cell>
          <cell r="Q57" t="str">
            <v>"</v>
          </cell>
          <cell r="R57" t="str">
            <v>, moments: [</v>
          </cell>
          <cell r="S57" t="str">
            <v>"</v>
          </cell>
          <cell r="T57" t="str">
            <v>Pascua</v>
          </cell>
          <cell r="U57" t="str">
            <v>", "</v>
          </cell>
          <cell r="V57" t="str">
            <v>Laudes/Visperas</v>
          </cell>
          <cell r="W57" t="str">
            <v>", "</v>
          </cell>
          <cell r="X57" t="str">
            <v>Comunión</v>
          </cell>
          <cell r="Y57" t="str">
            <v>", "</v>
          </cell>
          <cell r="Z57" t="str">
            <v>Antiguo Testamento</v>
          </cell>
          <cell r="AE57" t="str">
            <v>"], url: "</v>
          </cell>
          <cell r="AF57" t="str">
            <v>/cantos/resucito/c/credo.html</v>
          </cell>
          <cell r="AG57" t="str">
            <v>/cantos/resucito/c/credo.html</v>
          </cell>
          <cell r="AH57" t="str">
            <v>"},</v>
          </cell>
          <cell r="AI57" t="str">
            <v>c</v>
          </cell>
          <cell r="AJ57" t="str">
            <v>l</v>
          </cell>
          <cell r="AK57" t="str">
            <v>{id:54,title: "credoCredo", subtitle: "Símbolo Apostólico", category: "LITÚRGICOS", moments: ["Pascua", "Laudes/Visperas", "Comunión", "Antiguo Testamento"], url: "/cantos/resucito/c/credo.html/cantos/resucito/c/credo.html"},</v>
          </cell>
          <cell r="AL57" t="str">
            <v>CREDO</v>
          </cell>
          <cell r="AM57" t="str">
            <v>credo</v>
          </cell>
          <cell r="AN57" t="str">
            <v>Símbolo Apostólico</v>
          </cell>
          <cell r="AP57" t="str">
            <v>CANTO</v>
          </cell>
          <cell r="AQ57" t="str">
            <v>CREDO</v>
          </cell>
        </row>
        <row r="58">
          <cell r="A58">
            <v>42</v>
          </cell>
          <cell r="B58" t="str">
            <v>{id:</v>
          </cell>
          <cell r="C58">
            <v>55</v>
          </cell>
          <cell r="D58" t="str">
            <v>,</v>
          </cell>
          <cell r="E58" t="str">
            <v xml:space="preserve">title: </v>
          </cell>
          <cell r="F58" t="str">
            <v>"</v>
          </cell>
          <cell r="G58" t="str">
            <v>cristoeslaluz</v>
          </cell>
          <cell r="H58" t="str">
            <v>Cristo es la luz</v>
          </cell>
          <cell r="I58" t="str">
            <v>",</v>
          </cell>
          <cell r="J58" t="str">
            <v xml:space="preserve"> subtitle: </v>
          </cell>
          <cell r="K58" t="str">
            <v>"</v>
          </cell>
          <cell r="L58" t="str">
            <v>Himno - Juan 8,12; 14,6</v>
          </cell>
          <cell r="M58" t="str">
            <v xml:space="preserve">", </v>
          </cell>
          <cell r="N58" t="str">
            <v xml:space="preserve">category: </v>
          </cell>
          <cell r="O58" t="str">
            <v>"</v>
          </cell>
          <cell r="P58" t="str">
            <v>PRECATECUMENADO</v>
          </cell>
          <cell r="Q58" t="str">
            <v>"</v>
          </cell>
          <cell r="R58" t="str">
            <v>, moments: [</v>
          </cell>
          <cell r="S58" t="str">
            <v>"</v>
          </cell>
          <cell r="T58" t="str">
            <v>Cuaresma</v>
          </cell>
          <cell r="U58" t="str">
            <v>", "</v>
          </cell>
          <cell r="V58" t="str">
            <v>Entrada</v>
          </cell>
          <cell r="W58" t="str">
            <v>", "</v>
          </cell>
          <cell r="X58" t="str">
            <v>Final</v>
          </cell>
          <cell r="Y58" t="str">
            <v>", "</v>
          </cell>
          <cell r="Z58" t="str">
            <v>Antiguo Testamento</v>
          </cell>
          <cell r="AE58" t="str">
            <v>"], url: "</v>
          </cell>
          <cell r="AF58" t="str">
            <v>/cantos/resucito/c/cristoeslaluz.html</v>
          </cell>
          <cell r="AG58" t="str">
            <v>/cantos/resucito/c/cristoeslaluz.html</v>
          </cell>
          <cell r="AH58" t="str">
            <v>"},</v>
          </cell>
          <cell r="AI58" t="str">
            <v>c</v>
          </cell>
          <cell r="AJ58" t="str">
            <v>p</v>
          </cell>
          <cell r="AK58" t="str">
            <v>{id:55,title: "cristoeslaluzCristo es la luz", subtitle: "Himno - Juan 8,12; 14,6", category: "PRECATECUMENADO", moments: ["Cuaresma", "Entrada", "Final", "Antiguo Testamento"], url: "/cantos/resucito/c/cristoeslaluz.html/cantos/resucito/c/cristoeslaluz.html"},</v>
          </cell>
          <cell r="AL58" t="str">
            <v>CRISTO ES LA LUZ</v>
          </cell>
          <cell r="AM58" t="str">
            <v>cristoeslaluz</v>
          </cell>
          <cell r="AN58" t="str">
            <v>Himno - Juan 8,12; 14,6</v>
          </cell>
          <cell r="AP58" t="str">
            <v>CANTO</v>
          </cell>
          <cell r="AQ58" t="str">
            <v>CRISTO ES LA LUZ</v>
          </cell>
        </row>
        <row r="59">
          <cell r="A59">
            <v>222</v>
          </cell>
          <cell r="B59" t="str">
            <v>{id:</v>
          </cell>
          <cell r="C59">
            <v>56</v>
          </cell>
          <cell r="D59" t="str">
            <v>,</v>
          </cell>
          <cell r="E59" t="str">
            <v xml:space="preserve">title: </v>
          </cell>
          <cell r="F59" t="str">
            <v>"</v>
          </cell>
          <cell r="G59" t="str">
            <v>cuandodormia</v>
          </cell>
          <cell r="H59" t="str">
            <v>Cuando dormía</v>
          </cell>
          <cell r="I59" t="str">
            <v>",</v>
          </cell>
          <cell r="J59" t="str">
            <v xml:space="preserve"> subtitle: </v>
          </cell>
          <cell r="K59" t="str">
            <v>"</v>
          </cell>
          <cell r="L59" t="str">
            <v xml:space="preserve">Cantar de los Cantares 5,2ss </v>
          </cell>
          <cell r="M59" t="str">
            <v xml:space="preserve">", </v>
          </cell>
          <cell r="N59" t="str">
            <v xml:space="preserve">category: </v>
          </cell>
          <cell r="O59" t="str">
            <v>"</v>
          </cell>
          <cell r="P59" t="str">
            <v>CATECUMENADO</v>
          </cell>
          <cell r="Q59" t="str">
            <v>"</v>
          </cell>
          <cell r="R59" t="str">
            <v>, moments: [</v>
          </cell>
          <cell r="S59" t="str">
            <v>"</v>
          </cell>
          <cell r="T59" t="str">
            <v>Pascua</v>
          </cell>
          <cell r="U59" t="str">
            <v>", "</v>
          </cell>
          <cell r="V59" t="str">
            <v>Laudes/Visperas</v>
          </cell>
          <cell r="W59" t="str">
            <v>", "</v>
          </cell>
          <cell r="X59" t="str">
            <v>Antiguo Testamento</v>
          </cell>
          <cell r="AE59" t="str">
            <v>"], url: "</v>
          </cell>
          <cell r="AF59" t="str">
            <v>/cantos/resucito/c/cuandodormia.html</v>
          </cell>
          <cell r="AG59" t="str">
            <v>/cantos/resucito/c/cuandodormia.html</v>
          </cell>
          <cell r="AH59" t="str">
            <v>"},</v>
          </cell>
          <cell r="AI59" t="str">
            <v>c</v>
          </cell>
          <cell r="AJ59" t="str">
            <v>c</v>
          </cell>
          <cell r="AK59" t="str">
            <v>{id:56,title: "cuandodormiaCuando dormía", subtitle: "Cantar de los Cantares 5,2ss ", category: "CATECUMENADO", moments: ["Pascua", "Laudes/Visperas", "Antiguo Testamento"], url: "/cantos/resucito/c/cuandodormia.html/cantos/resucito/c/cuandodormia.html"},</v>
          </cell>
          <cell r="AL59" t="str">
            <v>CUANDO DORMÍA</v>
          </cell>
          <cell r="AM59" t="str">
            <v>cuandodormía</v>
          </cell>
          <cell r="AN59" t="str">
            <v xml:space="preserve">Cantar de los Cantares 5,2ss </v>
          </cell>
          <cell r="AP59" t="str">
            <v>CANTO</v>
          </cell>
          <cell r="AQ59" t="str">
            <v>CUANDO DORMÍA</v>
          </cell>
        </row>
        <row r="60">
          <cell r="A60">
            <v>43</v>
          </cell>
          <cell r="B60" t="str">
            <v>{id:</v>
          </cell>
          <cell r="C60">
            <v>57</v>
          </cell>
          <cell r="D60" t="str">
            <v>,</v>
          </cell>
          <cell r="E60" t="str">
            <v xml:space="preserve">title: </v>
          </cell>
          <cell r="F60" t="str">
            <v>"</v>
          </cell>
          <cell r="G60" t="str">
            <v>cuandoelsenor</v>
          </cell>
          <cell r="H60" t="str">
            <v>Cuando el Señor</v>
          </cell>
          <cell r="I60" t="str">
            <v>",</v>
          </cell>
          <cell r="J60" t="str">
            <v xml:space="preserve"> subtitle: </v>
          </cell>
          <cell r="K60" t="str">
            <v>"</v>
          </cell>
          <cell r="L60" t="str">
            <v>Salmo 126 (125)</v>
          </cell>
          <cell r="M60" t="str">
            <v xml:space="preserve">", </v>
          </cell>
          <cell r="N60" t="str">
            <v xml:space="preserve">category: </v>
          </cell>
          <cell r="O60" t="str">
            <v>"</v>
          </cell>
          <cell r="P60" t="str">
            <v>PRECATECUMENADO</v>
          </cell>
          <cell r="Q60" t="str">
            <v>"</v>
          </cell>
          <cell r="R60" t="str">
            <v>, moments: [</v>
          </cell>
          <cell r="S60" t="str">
            <v>"</v>
          </cell>
          <cell r="T60" t="str">
            <v>Pascua</v>
          </cell>
          <cell r="U60" t="str">
            <v>", "</v>
          </cell>
          <cell r="V60" t="str">
            <v>Paz</v>
          </cell>
          <cell r="W60" t="str">
            <v>", "</v>
          </cell>
          <cell r="X60" t="str">
            <v>Final</v>
          </cell>
          <cell r="AE60" t="str">
            <v>"], url: "</v>
          </cell>
          <cell r="AF60" t="str">
            <v>/cantos/resucito/c/cuandoelsenor.html</v>
          </cell>
          <cell r="AG60" t="str">
            <v>/cantos/resucito/c/cuandoelsenor.html</v>
          </cell>
          <cell r="AH60" t="str">
            <v>"},</v>
          </cell>
          <cell r="AI60" t="str">
            <v>c</v>
          </cell>
          <cell r="AJ60" t="str">
            <v>p</v>
          </cell>
          <cell r="AK60" t="str">
            <v>{id:57,title: "cuandoelsenorCuando el Señor", subtitle: "Salmo 126 (125)", category: "PRECATECUMENADO", moments: ["Pascua", "Paz", "Final"], url: "/cantos/resucito/c/cuandoelsenor.html/cantos/resucito/c/cuandoelsenor.html"},</v>
          </cell>
          <cell r="AL60" t="str">
            <v>CUANDO EL SEÑOR</v>
          </cell>
          <cell r="AM60" t="str">
            <v>cuandoelseñor</v>
          </cell>
          <cell r="AN60" t="str">
            <v>Salmo 126 (125)</v>
          </cell>
          <cell r="AP60" t="str">
            <v>CANTO</v>
          </cell>
          <cell r="AQ60" t="str">
            <v>CUANDO EL SEÑOR</v>
          </cell>
        </row>
        <row r="61">
          <cell r="A61">
            <v>44</v>
          </cell>
          <cell r="B61" t="str">
            <v>{id:</v>
          </cell>
          <cell r="C61">
            <v>58</v>
          </cell>
          <cell r="D61" t="str">
            <v>,</v>
          </cell>
          <cell r="E61" t="str">
            <v xml:space="preserve">title: </v>
          </cell>
          <cell r="F61" t="str">
            <v>"</v>
          </cell>
          <cell r="G61" t="str">
            <v>cuandoisraelsaliodeegipto</v>
          </cell>
          <cell r="H61" t="str">
            <v>Cuando Israel salió de Egipto</v>
          </cell>
          <cell r="I61" t="str">
            <v>",</v>
          </cell>
          <cell r="J61" t="str">
            <v xml:space="preserve"> subtitle: </v>
          </cell>
          <cell r="K61" t="str">
            <v>"</v>
          </cell>
          <cell r="L61" t="str">
            <v>Salmo 114 (113)</v>
          </cell>
          <cell r="M61" t="str">
            <v xml:space="preserve">", </v>
          </cell>
          <cell r="N61" t="str">
            <v xml:space="preserve">category: </v>
          </cell>
          <cell r="O61" t="str">
            <v>"</v>
          </cell>
          <cell r="P61" t="str">
            <v>PRECATECUMENADO</v>
          </cell>
          <cell r="Q61" t="str">
            <v>"</v>
          </cell>
          <cell r="R61" t="str">
            <v>, moments: [</v>
          </cell>
          <cell r="S61" t="str">
            <v>"</v>
          </cell>
          <cell r="T61" t="str">
            <v>Pascua</v>
          </cell>
          <cell r="U61" t="str">
            <v>", "</v>
          </cell>
          <cell r="V61" t="str">
            <v>Paz</v>
          </cell>
          <cell r="AE61" t="str">
            <v>"], url: "</v>
          </cell>
          <cell r="AF61" t="str">
            <v>/cantos/resucito/c/cuandoisraelsaliodeegipto.html</v>
          </cell>
          <cell r="AG61" t="str">
            <v>/cantos/resucito/c/cuandoisraelsaliodeegipto.html</v>
          </cell>
          <cell r="AH61" t="str">
            <v>"},</v>
          </cell>
          <cell r="AI61" t="str">
            <v>c</v>
          </cell>
          <cell r="AJ61" t="str">
            <v>p</v>
          </cell>
          <cell r="AK61" t="str">
            <v>{id:58,title: "cuandoisraelsaliodeegiptoCuando Israel salió de Egipto", subtitle: "Salmo 114 (113)", category: "PRECATECUMENADO", moments: ["Pascua", "Paz"], url: "/cantos/resucito/c/cuandoisraelsaliodeegipto.html/cantos/resucito/c/cuandoisraelsaliodeegipto.html"},</v>
          </cell>
          <cell r="AL61" t="str">
            <v>CUANDO ISRAEL SALIÓ DE EGIPTO</v>
          </cell>
          <cell r="AM61" t="str">
            <v>cuandoisraelsaliódeegipto</v>
          </cell>
          <cell r="AN61" t="str">
            <v>Salmo 114 (113)</v>
          </cell>
          <cell r="AP61" t="str">
            <v>CANTO</v>
          </cell>
          <cell r="AQ61" t="str">
            <v>CUANDO ISRAEL SALIÓ DE EGIPTO</v>
          </cell>
        </row>
        <row r="62">
          <cell r="A62">
            <v>45</v>
          </cell>
          <cell r="B62" t="str">
            <v>{id:</v>
          </cell>
          <cell r="C62">
            <v>59</v>
          </cell>
          <cell r="D62" t="str">
            <v>,</v>
          </cell>
          <cell r="E62" t="str">
            <v xml:space="preserve">title: </v>
          </cell>
          <cell r="F62" t="str">
            <v>"</v>
          </cell>
          <cell r="G62" t="str">
            <v>dayenu</v>
          </cell>
          <cell r="H62" t="str">
            <v>Dayenú</v>
          </cell>
          <cell r="I62" t="str">
            <v>",</v>
          </cell>
          <cell r="J62" t="str">
            <v xml:space="preserve"> subtitle: </v>
          </cell>
          <cell r="K62" t="str">
            <v>"</v>
          </cell>
          <cell r="L62" t="str">
            <v>De la Hagadá de Pésaj hebrea</v>
          </cell>
          <cell r="M62" t="str">
            <v xml:space="preserve">", </v>
          </cell>
          <cell r="N62" t="str">
            <v xml:space="preserve">category: </v>
          </cell>
          <cell r="O62" t="str">
            <v>"</v>
          </cell>
          <cell r="P62" t="str">
            <v>PRECATECUMENADO</v>
          </cell>
          <cell r="Q62" t="str">
            <v>"</v>
          </cell>
          <cell r="R62" t="str">
            <v>, moments: [</v>
          </cell>
          <cell r="S62" t="str">
            <v>"</v>
          </cell>
          <cell r="T62" t="str">
            <v>Cuaresma</v>
          </cell>
          <cell r="U62" t="str">
            <v>", "</v>
          </cell>
          <cell r="V62" t="str">
            <v>Antiguo Testamento</v>
          </cell>
          <cell r="AE62" t="str">
            <v>"], url: "</v>
          </cell>
          <cell r="AF62" t="str">
            <v>/cantos/resucito/d/dayenu.html</v>
          </cell>
          <cell r="AG62" t="str">
            <v>/cantos/resucito/d/dayenu.html</v>
          </cell>
          <cell r="AH62" t="str">
            <v>"},</v>
          </cell>
          <cell r="AI62" t="str">
            <v>d</v>
          </cell>
          <cell r="AJ62" t="str">
            <v>p</v>
          </cell>
          <cell r="AK62" t="str">
            <v>{id:59,title: "dayenuDayenú", subtitle: "De la Hagadá de Pésaj hebrea", category: "PRECATECUMENADO", moments: ["Cuaresma", "Antiguo Testamento"], url: "/cantos/resucito/d/dayenu.html/cantos/resucito/d/dayenu.html"},</v>
          </cell>
          <cell r="AL62" t="str">
            <v>DAYENÚ</v>
          </cell>
          <cell r="AM62" t="str">
            <v>dayenú</v>
          </cell>
          <cell r="AN62" t="str">
            <v>De la Hagadá de Pésaj hebrea</v>
          </cell>
          <cell r="AP62" t="str">
            <v>CANTO</v>
          </cell>
          <cell r="AQ62" t="str">
            <v>DAYENÚ</v>
          </cell>
        </row>
        <row r="63">
          <cell r="A63">
            <v>47</v>
          </cell>
          <cell r="B63" t="str">
            <v>{id:</v>
          </cell>
          <cell r="C63">
            <v>60</v>
          </cell>
          <cell r="D63" t="str">
            <v>,</v>
          </cell>
          <cell r="E63" t="str">
            <v xml:space="preserve">title: </v>
          </cell>
          <cell r="F63" t="str">
            <v>"</v>
          </cell>
          <cell r="G63" t="str">
            <v>deprofundis</v>
          </cell>
          <cell r="H63" t="str">
            <v>De Profundis</v>
          </cell>
          <cell r="I63" t="str">
            <v>",</v>
          </cell>
          <cell r="J63" t="str">
            <v xml:space="preserve"> subtitle: </v>
          </cell>
          <cell r="K63" t="str">
            <v>"</v>
          </cell>
          <cell r="L63" t="str">
            <v>Salmo 130 (129)</v>
          </cell>
          <cell r="M63" t="str">
            <v xml:space="preserve">", </v>
          </cell>
          <cell r="N63" t="str">
            <v xml:space="preserve">category: </v>
          </cell>
          <cell r="O63" t="str">
            <v>"</v>
          </cell>
          <cell r="P63" t="str">
            <v>PRECATECUMENADO</v>
          </cell>
          <cell r="Q63" t="str">
            <v>"</v>
          </cell>
          <cell r="R63" t="str">
            <v>, moments: [</v>
          </cell>
          <cell r="S63" t="str">
            <v>"</v>
          </cell>
          <cell r="T63" t="str">
            <v>Adviento</v>
          </cell>
          <cell r="U63" t="str">
            <v>", "</v>
          </cell>
          <cell r="V63" t="str">
            <v>Virgen</v>
          </cell>
          <cell r="W63" t="str">
            <v>", "</v>
          </cell>
          <cell r="X63" t="str">
            <v>Antiguo Testamento</v>
          </cell>
          <cell r="AE63" t="str">
            <v>"], url: "</v>
          </cell>
          <cell r="AF63" t="str">
            <v>/cantos/resucito/d/deprofundis.html</v>
          </cell>
          <cell r="AG63" t="str">
            <v>/cantos/resucito/d/deprofundis.html</v>
          </cell>
          <cell r="AH63" t="str">
            <v>"},</v>
          </cell>
          <cell r="AI63" t="str">
            <v>d</v>
          </cell>
          <cell r="AJ63" t="str">
            <v>p</v>
          </cell>
          <cell r="AK63" t="str">
            <v>{id:60,title: "deprofundisDe Profundis", subtitle: "Salmo 130 (129)", category: "PRECATECUMENADO", moments: ["Adviento", "Virgen", "Antiguo Testamento"], url: "/cantos/resucito/d/deprofundis.html/cantos/resucito/d/deprofundis.html"},</v>
          </cell>
          <cell r="AL63" t="str">
            <v>DE PROFUNDIS</v>
          </cell>
          <cell r="AM63" t="str">
            <v>deprofundis</v>
          </cell>
          <cell r="AN63" t="str">
            <v>Salmo 130 (129)</v>
          </cell>
          <cell r="AP63" t="str">
            <v>CANTO</v>
          </cell>
          <cell r="AQ63" t="str">
            <v>DE PROFUNDIS</v>
          </cell>
        </row>
        <row r="64">
          <cell r="A64">
            <v>223</v>
          </cell>
          <cell r="B64" t="str">
            <v>{id:</v>
          </cell>
          <cell r="C64">
            <v>61</v>
          </cell>
          <cell r="D64" t="str">
            <v>,</v>
          </cell>
          <cell r="E64" t="str">
            <v xml:space="preserve">title: </v>
          </cell>
          <cell r="F64" t="str">
            <v>"</v>
          </cell>
          <cell r="G64" t="str">
            <v>debora</v>
          </cell>
          <cell r="H64" t="str">
            <v>Débora</v>
          </cell>
          <cell r="I64" t="str">
            <v>",</v>
          </cell>
          <cell r="J64" t="str">
            <v xml:space="preserve"> subtitle: </v>
          </cell>
          <cell r="K64" t="str">
            <v>"</v>
          </cell>
          <cell r="L64" t="str">
            <v>Jueces 5</v>
          </cell>
          <cell r="M64" t="str">
            <v xml:space="preserve">", </v>
          </cell>
          <cell r="N64" t="str">
            <v xml:space="preserve">category: </v>
          </cell>
          <cell r="O64" t="str">
            <v>"</v>
          </cell>
          <cell r="P64" t="str">
            <v>CATECUMENADO</v>
          </cell>
          <cell r="Q64" t="str">
            <v>"</v>
          </cell>
          <cell r="R64" t="str">
            <v>, moments: [</v>
          </cell>
          <cell r="S64" t="str">
            <v>"</v>
          </cell>
          <cell r="T64" t="str">
            <v>Cuaresma</v>
          </cell>
          <cell r="U64" t="str">
            <v>", "</v>
          </cell>
          <cell r="V64" t="str">
            <v>Entrada</v>
          </cell>
          <cell r="W64" t="str">
            <v>", "</v>
          </cell>
          <cell r="X64" t="str">
            <v>Antiguo Testamento</v>
          </cell>
          <cell r="AE64" t="str">
            <v>"], url: "</v>
          </cell>
          <cell r="AF64" t="str">
            <v>/cantos/resucito/d/debora.html</v>
          </cell>
          <cell r="AG64" t="str">
            <v>/cantos/resucito/d/debora.html</v>
          </cell>
          <cell r="AH64" t="str">
            <v>"},</v>
          </cell>
          <cell r="AI64" t="str">
            <v>d</v>
          </cell>
          <cell r="AJ64" t="str">
            <v>c</v>
          </cell>
          <cell r="AK64" t="str">
            <v>{id:61,title: "deboraDébora", subtitle: "Jueces 5", category: "CATECUMENADO", moments: ["Cuaresma", "Entrada", "Antiguo Testamento"], url: "/cantos/resucito/d/debora.html/cantos/resucito/d/debora.html"},</v>
          </cell>
          <cell r="AL64" t="str">
            <v>DÉBORA</v>
          </cell>
          <cell r="AM64" t="str">
            <v>débora</v>
          </cell>
          <cell r="AN64" t="str">
            <v>Jueces 5</v>
          </cell>
          <cell r="AP64" t="str">
            <v>CANTO</v>
          </cell>
          <cell r="AQ64" t="str">
            <v>DÉBORA</v>
          </cell>
        </row>
        <row r="65">
          <cell r="A65">
            <v>48</v>
          </cell>
          <cell r="B65" t="str">
            <v>{id:</v>
          </cell>
          <cell r="C65">
            <v>62</v>
          </cell>
          <cell r="D65" t="str">
            <v>,</v>
          </cell>
          <cell r="E65" t="str">
            <v xml:space="preserve">title: </v>
          </cell>
          <cell r="F65" t="str">
            <v>"</v>
          </cell>
          <cell r="G65" t="str">
            <v>decidlealosdecorazoncansado</v>
          </cell>
          <cell r="H65" t="str">
            <v>Decidle a los de corazón cansado</v>
          </cell>
          <cell r="I65" t="str">
            <v>",</v>
          </cell>
          <cell r="J65" t="str">
            <v xml:space="preserve"> subtitle: </v>
          </cell>
          <cell r="K65" t="str">
            <v>"</v>
          </cell>
          <cell r="L65" t="str">
            <v>Isaías 35,4ss</v>
          </cell>
          <cell r="M65" t="str">
            <v xml:space="preserve">", </v>
          </cell>
          <cell r="N65" t="str">
            <v xml:space="preserve">category: </v>
          </cell>
          <cell r="O65" t="str">
            <v>"</v>
          </cell>
          <cell r="P65" t="str">
            <v>PRECATECUMENADO</v>
          </cell>
          <cell r="Q65" t="str">
            <v>"</v>
          </cell>
          <cell r="R65" t="str">
            <v>, moments: [</v>
          </cell>
          <cell r="S65" t="str">
            <v>"</v>
          </cell>
          <cell r="T65" t="str">
            <v>Laudes/Visperas</v>
          </cell>
          <cell r="U65" t="str">
            <v>", "</v>
          </cell>
          <cell r="V65" t="str">
            <v>Antiguo Testamento</v>
          </cell>
          <cell r="AE65" t="str">
            <v>"], url: "</v>
          </cell>
          <cell r="AF65" t="str">
            <v>/cantos/resucito/d/decidlealosdecorazoncansado.html</v>
          </cell>
          <cell r="AG65" t="str">
            <v>/cantos/resucito/d/decidlealosdecorazoncansado.html</v>
          </cell>
          <cell r="AH65" t="str">
            <v>"},</v>
          </cell>
          <cell r="AI65" t="str">
            <v>d</v>
          </cell>
          <cell r="AJ65" t="str">
            <v>p</v>
          </cell>
          <cell r="AK65" t="str">
            <v>{id:62,title: "decidlealosdecorazoncansadoDecidle a los de corazón cansado", subtitle: "Isaías 35,4ss", category: "PRECATECUMENADO", moments: ["Laudes/Visperas", "Antiguo Testamento"], url: "/cantos/resucito/d/decidlealosdecorazoncansado.html/cantos/resucito/d/decidlealosdecorazoncansado.html"},</v>
          </cell>
          <cell r="AL65" t="str">
            <v>DECIDLE A LOS DE CORAZÓN CANSADO</v>
          </cell>
          <cell r="AM65" t="str">
            <v>decidlealosdecorazóncansado</v>
          </cell>
          <cell r="AN65" t="str">
            <v>Isaías 35,4ss</v>
          </cell>
          <cell r="AP65" t="str">
            <v>CANTO</v>
          </cell>
          <cell r="AQ65" t="str">
            <v>DECIDLE A LOS DE CORAZÓN CANSADO</v>
          </cell>
        </row>
        <row r="66">
          <cell r="A66">
            <v>49</v>
          </cell>
          <cell r="B66" t="str">
            <v>{id:</v>
          </cell>
          <cell r="C66">
            <v>63</v>
          </cell>
          <cell r="D66" t="str">
            <v>,</v>
          </cell>
          <cell r="E66" t="str">
            <v xml:space="preserve">title: </v>
          </cell>
          <cell r="F66" t="str">
            <v>"</v>
          </cell>
          <cell r="G66" t="str">
            <v>delantedelosangeles</v>
          </cell>
          <cell r="H66" t="str">
            <v>Delante de los ángeles</v>
          </cell>
          <cell r="I66" t="str">
            <v>",</v>
          </cell>
          <cell r="J66" t="str">
            <v xml:space="preserve"> subtitle: </v>
          </cell>
          <cell r="K66" t="str">
            <v>"</v>
          </cell>
          <cell r="L66" t="str">
            <v>Salmo 138 (137)</v>
          </cell>
          <cell r="M66" t="str">
            <v xml:space="preserve">", </v>
          </cell>
          <cell r="N66" t="str">
            <v xml:space="preserve">category: </v>
          </cell>
          <cell r="O66" t="str">
            <v>"</v>
          </cell>
          <cell r="P66" t="str">
            <v>PRECATECUMENADO</v>
          </cell>
          <cell r="Q66" t="str">
            <v>"</v>
          </cell>
          <cell r="R66" t="str">
            <v>, moments: [</v>
          </cell>
          <cell r="S66" t="str">
            <v>"</v>
          </cell>
          <cell r="T66" t="str">
            <v>Final</v>
          </cell>
          <cell r="U66" t="str">
            <v>", "</v>
          </cell>
          <cell r="V66" t="str">
            <v>Nuevo Testamento</v>
          </cell>
          <cell r="AE66" t="str">
            <v>"], url: "</v>
          </cell>
          <cell r="AF66" t="str">
            <v>/cantos/resucito/d/delantedelosangeles.html</v>
          </cell>
          <cell r="AG66" t="str">
            <v>/cantos/resucito/d/delantedelosangeles.html</v>
          </cell>
          <cell r="AH66" t="str">
            <v>"},</v>
          </cell>
          <cell r="AI66" t="str">
            <v>d</v>
          </cell>
          <cell r="AJ66" t="str">
            <v>p</v>
          </cell>
          <cell r="AK66" t="str">
            <v>{id:63,title: "delantedelosangelesDelante de los ángeles", subtitle: "Salmo 138 (137)", category: "PRECATECUMENADO", moments: ["Final", "Nuevo Testamento"], url: "/cantos/resucito/d/delantedelosangeles.html/cantos/resucito/d/delantedelosangeles.html"},</v>
          </cell>
          <cell r="AL66" t="str">
            <v>DELANTE DE LOS ÁNGELES</v>
          </cell>
          <cell r="AM66" t="str">
            <v>delantedelosángeles</v>
          </cell>
          <cell r="AN66" t="str">
            <v>Salmo 138 (137)</v>
          </cell>
          <cell r="AP66" t="str">
            <v>CANTO</v>
          </cell>
          <cell r="AQ66" t="str">
            <v>DELANTE DE LOS ÁNGELES</v>
          </cell>
        </row>
        <row r="67">
          <cell r="A67">
            <v>50</v>
          </cell>
          <cell r="B67" t="str">
            <v>{id:</v>
          </cell>
          <cell r="C67">
            <v>64</v>
          </cell>
          <cell r="D67" t="str">
            <v>,</v>
          </cell>
          <cell r="E67" t="str">
            <v xml:space="preserve">title: </v>
          </cell>
          <cell r="F67" t="str">
            <v>"</v>
          </cell>
          <cell r="G67" t="str">
            <v>diadereposo</v>
          </cell>
          <cell r="H67" t="str">
            <v>Día de reposo</v>
          </cell>
          <cell r="I67" t="str">
            <v>",</v>
          </cell>
          <cell r="J67" t="str">
            <v xml:space="preserve"> subtitle: </v>
          </cell>
          <cell r="K67" t="str">
            <v>"</v>
          </cell>
          <cell r="L67" t="str">
            <v>Juan 8,52</v>
          </cell>
          <cell r="M67" t="str">
            <v xml:space="preserve">", </v>
          </cell>
          <cell r="N67" t="str">
            <v xml:space="preserve">category: </v>
          </cell>
          <cell r="O67" t="str">
            <v>"</v>
          </cell>
          <cell r="P67" t="str">
            <v>PRECATECUMENADO</v>
          </cell>
          <cell r="Q67" t="str">
            <v>"</v>
          </cell>
          <cell r="R67" t="str">
            <v>, moments: [</v>
          </cell>
          <cell r="S67" t="str">
            <v>"</v>
          </cell>
          <cell r="T67" t="str">
            <v>Laudes/Visperas</v>
          </cell>
          <cell r="U67" t="str">
            <v>", "</v>
          </cell>
          <cell r="V67" t="str">
            <v>Antiguo Testamento</v>
          </cell>
          <cell r="AE67" t="str">
            <v>"], url: "</v>
          </cell>
          <cell r="AF67" t="str">
            <v>/cantos/resucito/d/diadereposo.html</v>
          </cell>
          <cell r="AG67" t="str">
            <v>/cantos/resucito/d/diadereposo.html</v>
          </cell>
          <cell r="AH67" t="str">
            <v>"},</v>
          </cell>
          <cell r="AI67" t="str">
            <v>d</v>
          </cell>
          <cell r="AJ67" t="str">
            <v>p</v>
          </cell>
          <cell r="AK67" t="str">
            <v>{id:64,title: "diadereposoDía de reposo", subtitle: "Juan 8,52", category: "PRECATECUMENADO", moments: ["Laudes/Visperas", "Antiguo Testamento"], url: "/cantos/resucito/d/diadereposo.html/cantos/resucito/d/diadereposo.html"},</v>
          </cell>
          <cell r="AL67" t="str">
            <v>DÍA DE REPOSO</v>
          </cell>
          <cell r="AM67" t="str">
            <v>díadereposo</v>
          </cell>
          <cell r="AN67" t="str">
            <v>Juan 8,52</v>
          </cell>
          <cell r="AP67" t="str">
            <v>CANTO</v>
          </cell>
          <cell r="AQ67" t="str">
            <v>DÍA DE REPOSO</v>
          </cell>
        </row>
        <row r="68">
          <cell r="A68">
            <v>51</v>
          </cell>
          <cell r="B68" t="str">
            <v>{id:</v>
          </cell>
          <cell r="C68">
            <v>65</v>
          </cell>
          <cell r="D68" t="str">
            <v>,</v>
          </cell>
          <cell r="E68" t="str">
            <v xml:space="preserve">title: </v>
          </cell>
          <cell r="F68" t="str">
            <v>"</v>
          </cell>
          <cell r="G68" t="str">
            <v>diceelsenoramisenor</v>
          </cell>
          <cell r="H68" t="str">
            <v>Dice el Señor a mi Señor</v>
          </cell>
          <cell r="I68" t="str">
            <v>",</v>
          </cell>
          <cell r="J68" t="str">
            <v xml:space="preserve"> subtitle: </v>
          </cell>
          <cell r="K68" t="str">
            <v>"</v>
          </cell>
          <cell r="L68" t="str">
            <v>Salmo 110 (109)</v>
          </cell>
          <cell r="M68" t="str">
            <v xml:space="preserve">", </v>
          </cell>
          <cell r="N68" t="str">
            <v xml:space="preserve">category: </v>
          </cell>
          <cell r="O68" t="str">
            <v>"</v>
          </cell>
          <cell r="P68" t="str">
            <v>PRECATECUMENADO</v>
          </cell>
          <cell r="Q68" t="str">
            <v>"</v>
          </cell>
          <cell r="R68" t="str">
            <v>, moments: [</v>
          </cell>
          <cell r="S68" t="str">
            <v>"</v>
          </cell>
          <cell r="T68" t="str">
            <v>Antiguo Testamento</v>
          </cell>
          <cell r="AE68" t="str">
            <v>"], url: "</v>
          </cell>
          <cell r="AF68" t="str">
            <v>/cantos/resucito/d/diceelsenoramisenor.html</v>
          </cell>
          <cell r="AG68" t="str">
            <v>/cantos/resucito/d/diceelsenoramisenor.html</v>
          </cell>
          <cell r="AH68" t="str">
            <v>"},</v>
          </cell>
          <cell r="AI68" t="str">
            <v>d</v>
          </cell>
          <cell r="AJ68" t="str">
            <v>p</v>
          </cell>
          <cell r="AK68" t="str">
            <v>{id:65,title: "diceelsenoramisenorDice el Señor a mi Señor", subtitle: "Salmo 110 (109)", category: "PRECATECUMENADO", moments: ["Antiguo Testamento"], url: "/cantos/resucito/d/diceelsenoramisenor.html/cantos/resucito/d/diceelsenoramisenor.html"},</v>
          </cell>
          <cell r="AL68" t="str">
            <v>DICE EL SEÑOR A MI SEÑOR</v>
          </cell>
          <cell r="AM68" t="str">
            <v>diceelseñoramiseñor</v>
          </cell>
          <cell r="AN68" t="str">
            <v>Salmo 110 (109)</v>
          </cell>
          <cell r="AP68" t="str">
            <v>CANTO</v>
          </cell>
          <cell r="AQ68" t="str">
            <v>DICE EL SEÑOR A MI SEÑOR</v>
          </cell>
        </row>
        <row r="69">
          <cell r="A69">
            <v>52</v>
          </cell>
          <cell r="B69" t="str">
            <v>{id:</v>
          </cell>
          <cell r="C69">
            <v>66</v>
          </cell>
          <cell r="D69" t="str">
            <v>,</v>
          </cell>
          <cell r="E69" t="str">
            <v xml:space="preserve">title: </v>
          </cell>
          <cell r="F69" t="str">
            <v>"</v>
          </cell>
          <cell r="G69" t="str">
            <v>dichosoelhombre</v>
          </cell>
          <cell r="H69" t="str">
            <v>Dichoso el hombre</v>
          </cell>
          <cell r="I69" t="str">
            <v>",</v>
          </cell>
          <cell r="J69" t="str">
            <v xml:space="preserve"> subtitle: </v>
          </cell>
          <cell r="K69" t="str">
            <v>"</v>
          </cell>
          <cell r="L69" t="str">
            <v>Salmo 1</v>
          </cell>
          <cell r="M69" t="str">
            <v xml:space="preserve">", </v>
          </cell>
          <cell r="N69" t="str">
            <v xml:space="preserve">category: </v>
          </cell>
          <cell r="O69" t="str">
            <v>"</v>
          </cell>
          <cell r="P69" t="str">
            <v>PRECATECUMENADO</v>
          </cell>
          <cell r="Q69" t="str">
            <v>"</v>
          </cell>
          <cell r="R69" t="str">
            <v>, moments: [</v>
          </cell>
          <cell r="S69" t="str">
            <v>"</v>
          </cell>
          <cell r="T69" t="str">
            <v>Pascua</v>
          </cell>
          <cell r="U69" t="str">
            <v>", "</v>
          </cell>
          <cell r="V69" t="str">
            <v>Entrada</v>
          </cell>
          <cell r="W69" t="str">
            <v>", "</v>
          </cell>
          <cell r="X69" t="str">
            <v>Nuevo Testamento</v>
          </cell>
          <cell r="AE69" t="str">
            <v>"], url: "</v>
          </cell>
          <cell r="AF69" t="str">
            <v>/cantos/resucito/d/dichosoelhombre.html</v>
          </cell>
          <cell r="AG69" t="str">
            <v>/cantos/resucito/d/dichosoelhombre.html</v>
          </cell>
          <cell r="AH69" t="str">
            <v>"},</v>
          </cell>
          <cell r="AI69" t="str">
            <v>d</v>
          </cell>
          <cell r="AJ69" t="str">
            <v>p</v>
          </cell>
          <cell r="AK69" t="str">
            <v>{id:66,title: "dichosoelhombreDichoso el hombre", subtitle: "Salmo 1", category: "PRECATECUMENADO", moments: ["Pascua", "Entrada", "Nuevo Testamento"], url: "/cantos/resucito/d/dichosoelhombre.html/cantos/resucito/d/dichosoelhombre.html"},</v>
          </cell>
          <cell r="AL69" t="str">
            <v>DICHOSO EL HOMBRE</v>
          </cell>
          <cell r="AM69" t="str">
            <v>dichosoelhombre</v>
          </cell>
          <cell r="AN69" t="str">
            <v>Salmo 1</v>
          </cell>
          <cell r="AP69" t="str">
            <v>CANTO</v>
          </cell>
          <cell r="AQ69" t="str">
            <v>DICHOSO EL HOMBRE</v>
          </cell>
        </row>
        <row r="70">
          <cell r="A70">
            <v>53</v>
          </cell>
          <cell r="B70" t="str">
            <v>{id:</v>
          </cell>
          <cell r="C70">
            <v>67</v>
          </cell>
          <cell r="D70" t="str">
            <v>,</v>
          </cell>
          <cell r="E70" t="str">
            <v xml:space="preserve">title: </v>
          </cell>
          <cell r="F70" t="str">
            <v>"</v>
          </cell>
          <cell r="G70" t="str">
            <v>elcombateescatologico</v>
          </cell>
          <cell r="H70" t="str">
            <v>El combate escatológico</v>
          </cell>
          <cell r="I70" t="str">
            <v>",</v>
          </cell>
          <cell r="J70" t="str">
            <v xml:space="preserve"> subtitle: </v>
          </cell>
          <cell r="K70" t="str">
            <v>"</v>
          </cell>
          <cell r="L70" t="str">
            <v>Apocalipsis 19,11-20</v>
          </cell>
          <cell r="M70" t="str">
            <v xml:space="preserve">", </v>
          </cell>
          <cell r="N70" t="str">
            <v xml:space="preserve">category: </v>
          </cell>
          <cell r="O70" t="str">
            <v>"</v>
          </cell>
          <cell r="P70" t="str">
            <v>PRECATECUMENADO</v>
          </cell>
          <cell r="Q70" t="str">
            <v>"</v>
          </cell>
          <cell r="R70" t="str">
            <v>, moments: [</v>
          </cell>
          <cell r="S70" t="str">
            <v>"</v>
          </cell>
          <cell r="T70" t="str">
            <v>Laudes/Visperas</v>
          </cell>
          <cell r="U70" t="str">
            <v>", "</v>
          </cell>
          <cell r="V70" t="str">
            <v>Final</v>
          </cell>
          <cell r="W70" t="str">
            <v>", "</v>
          </cell>
          <cell r="X70" t="str">
            <v>Antiguo Testamento</v>
          </cell>
          <cell r="Y70" t="str">
            <v>", "</v>
          </cell>
          <cell r="Z70" t="str">
            <v>Nuevo Testamento</v>
          </cell>
          <cell r="AE70" t="str">
            <v>"], url: "</v>
          </cell>
          <cell r="AF70" t="str">
            <v>/cantos/resucito/e/elcombateescatologico.html</v>
          </cell>
          <cell r="AG70" t="str">
            <v>/cantos/resucito/e/elcombateescatologico.html</v>
          </cell>
          <cell r="AH70" t="str">
            <v>"},</v>
          </cell>
          <cell r="AI70" t="str">
            <v>e</v>
          </cell>
          <cell r="AJ70" t="str">
            <v>p</v>
          </cell>
          <cell r="AK70" t="str">
            <v>{id:67,title: "elcombateescatologicoEl combate escatológico", subtitle: "Apocalipsis 19,11-20", category: "PRECATECUMENADO", moments: ["Laudes/Visperas", "Final", "Antiguo Testamento", "Nuevo Testamento"], url: "/cantos/resucito/e/elcombateescatologico.html/cantos/resucito/e/elcombateescatologico.html"},</v>
          </cell>
          <cell r="AL70" t="str">
            <v>EL COMBATE ESCATOLÓGICO</v>
          </cell>
          <cell r="AM70" t="str">
            <v>elcombateescatológico</v>
          </cell>
          <cell r="AN70" t="str">
            <v>Apocalipsis 19,11-20</v>
          </cell>
          <cell r="AP70" t="str">
            <v>CANTO</v>
          </cell>
          <cell r="AQ70" t="str">
            <v>EL COMBATE ESCATOLÓGICO</v>
          </cell>
        </row>
        <row r="71">
          <cell r="A71">
            <v>54</v>
          </cell>
          <cell r="B71" t="str">
            <v>{id:</v>
          </cell>
          <cell r="C71">
            <v>68</v>
          </cell>
          <cell r="D71" t="str">
            <v>,</v>
          </cell>
          <cell r="E71" t="str">
            <v xml:space="preserve">title: </v>
          </cell>
          <cell r="F71" t="str">
            <v>"</v>
          </cell>
          <cell r="G71" t="str">
            <v>elespiritudelsenorestasobremi</v>
          </cell>
          <cell r="H71" t="str">
            <v>El Espíritu del Señor está sobre mí</v>
          </cell>
          <cell r="I71" t="str">
            <v>",</v>
          </cell>
          <cell r="J71" t="str">
            <v xml:space="preserve"> subtitle: </v>
          </cell>
          <cell r="K71" t="str">
            <v>"</v>
          </cell>
          <cell r="L71" t="str">
            <v>Lucas 4,18 – Isaías 61,1-3</v>
          </cell>
          <cell r="M71" t="str">
            <v xml:space="preserve">", </v>
          </cell>
          <cell r="N71" t="str">
            <v xml:space="preserve">category: </v>
          </cell>
          <cell r="O71" t="str">
            <v>"</v>
          </cell>
          <cell r="P71" t="str">
            <v>PRECATECUMENADO</v>
          </cell>
          <cell r="Q71" t="str">
            <v>"</v>
          </cell>
          <cell r="R71" t="str">
            <v>, moments: [</v>
          </cell>
          <cell r="S71" t="str">
            <v>"</v>
          </cell>
          <cell r="T71" t="str">
            <v>Pascua</v>
          </cell>
          <cell r="U71" t="str">
            <v>", "</v>
          </cell>
          <cell r="V71" t="str">
            <v>Comunión</v>
          </cell>
          <cell r="W71" t="str">
            <v>", "</v>
          </cell>
          <cell r="X71" t="str">
            <v>Antiguo Testamento</v>
          </cell>
          <cell r="AE71" t="str">
            <v>"], url: "</v>
          </cell>
          <cell r="AF71" t="str">
            <v>/cantos/resucito/e/elespiritudelsenorestasobremi.html</v>
          </cell>
          <cell r="AG71" t="str">
            <v>/cantos/resucito/e/elespiritudelsenorestasobremi.html</v>
          </cell>
          <cell r="AH71" t="str">
            <v>"},</v>
          </cell>
          <cell r="AI71" t="str">
            <v>e</v>
          </cell>
          <cell r="AJ71" t="str">
            <v>p</v>
          </cell>
          <cell r="AK71" t="str">
            <v>{id:68,title: "elespiritudelsenorestasobremiEl Espíritu del Señor está sobre mí", subtitle: "Lucas 4,18 – Isaías 61,1-3", category: "PRECATECUMENADO", moments: ["Pascua", "Comunión", "Antiguo Testamento"], url: "/cantos/resucito/e/elespiritudelsenorestasobremi.html/cantos/resucito/e/elespiritudelsenorestasobremi.html"},</v>
          </cell>
          <cell r="AL71" t="str">
            <v>EL ESPÍRITU DEL SEÑOR ESTÁ SOBRE MÍ</v>
          </cell>
          <cell r="AM71" t="str">
            <v>elespíritudelseñorestásobremí</v>
          </cell>
          <cell r="AN71" t="str">
            <v>Lucas 4,18 – Isaías 61,1-3</v>
          </cell>
          <cell r="AP71" t="str">
            <v>CANTO</v>
          </cell>
          <cell r="AQ71" t="str">
            <v>EL ESPÍRITU DEL SEÑOR ESTÁ SOBRE MÍ</v>
          </cell>
        </row>
        <row r="72">
          <cell r="A72">
            <v>55</v>
          </cell>
          <cell r="B72" t="str">
            <v>{id:</v>
          </cell>
          <cell r="C72">
            <v>69</v>
          </cell>
          <cell r="D72" t="str">
            <v>,</v>
          </cell>
          <cell r="E72" t="str">
            <v xml:space="preserve">title: </v>
          </cell>
          <cell r="F72" t="str">
            <v>"</v>
          </cell>
          <cell r="G72" t="str">
            <v>eljacaldelospastores</v>
          </cell>
          <cell r="H72" t="str">
            <v>El jacal de los pastores</v>
          </cell>
          <cell r="I72" t="str">
            <v>",</v>
          </cell>
          <cell r="J72" t="str">
            <v xml:space="preserve"> subtitle: </v>
          </cell>
          <cell r="K72" t="str">
            <v>"</v>
          </cell>
          <cell r="L72" t="str">
            <v>Cantar de los Cantares 1,2-8</v>
          </cell>
          <cell r="M72" t="str">
            <v xml:space="preserve">", </v>
          </cell>
          <cell r="N72" t="str">
            <v xml:space="preserve">category: </v>
          </cell>
          <cell r="O72" t="str">
            <v>"</v>
          </cell>
          <cell r="P72" t="str">
            <v>PRECATECUMENADO</v>
          </cell>
          <cell r="Q72" t="str">
            <v>"</v>
          </cell>
          <cell r="R72" t="str">
            <v>, moments: [</v>
          </cell>
          <cell r="S72" t="str">
            <v>"</v>
          </cell>
          <cell r="T72" t="str">
            <v>Fracción del Pan</v>
          </cell>
          <cell r="U72" t="str">
            <v>", "</v>
          </cell>
          <cell r="V72" t="str">
            <v>Antiguo Testamento</v>
          </cell>
          <cell r="AE72" t="str">
            <v>"], url: "</v>
          </cell>
          <cell r="AF72" t="str">
            <v>/cantos/resucito/e/eljacaldelospastores.html</v>
          </cell>
          <cell r="AG72" t="str">
            <v>/cantos/resucito/e/eljacaldelospastores.html</v>
          </cell>
          <cell r="AH72" t="str">
            <v>"},</v>
          </cell>
          <cell r="AI72" t="str">
            <v>e</v>
          </cell>
          <cell r="AJ72" t="str">
            <v>p</v>
          </cell>
          <cell r="AK72" t="str">
            <v>{id:69,title: "eljacaldelospastoresEl jacal de los pastores", subtitle: "Cantar de los Cantares 1,2-8", category: "PRECATECUMENADO", moments: ["Fracción del Pan", "Antiguo Testamento"], url: "/cantos/resucito/e/eljacaldelospastores.html/cantos/resucito/e/eljacaldelospastores.html"},</v>
          </cell>
          <cell r="AL72" t="str">
            <v>EL JACAL DE LOS PASTORES</v>
          </cell>
          <cell r="AM72" t="str">
            <v>eljacaldelospastores</v>
          </cell>
          <cell r="AN72" t="str">
            <v>Cantar de los Cantares 1,2-8</v>
          </cell>
          <cell r="AP72" t="str">
            <v>CANTO</v>
          </cell>
          <cell r="AQ72" t="str">
            <v>EL JACAL DE LOS PASTORES</v>
          </cell>
        </row>
        <row r="73">
          <cell r="A73">
            <v>56</v>
          </cell>
          <cell r="B73" t="str">
            <v>{id:</v>
          </cell>
          <cell r="C73">
            <v>70</v>
          </cell>
          <cell r="D73" t="str">
            <v>,</v>
          </cell>
          <cell r="E73" t="str">
            <v xml:space="preserve">title: </v>
          </cell>
          <cell r="F73" t="str">
            <v>"</v>
          </cell>
          <cell r="G73" t="str">
            <v>ellagarero</v>
          </cell>
          <cell r="H73" t="str">
            <v>El lagarero</v>
          </cell>
          <cell r="I73" t="str">
            <v>",</v>
          </cell>
          <cell r="J73" t="str">
            <v xml:space="preserve"> subtitle: </v>
          </cell>
          <cell r="K73" t="str">
            <v>"</v>
          </cell>
          <cell r="L73" t="str">
            <v>Isaías 63,1-6</v>
          </cell>
          <cell r="M73" t="str">
            <v xml:space="preserve">", </v>
          </cell>
          <cell r="N73" t="str">
            <v xml:space="preserve">category: </v>
          </cell>
          <cell r="O73" t="str">
            <v>"</v>
          </cell>
          <cell r="P73" t="str">
            <v>PRECATECUMENADO</v>
          </cell>
          <cell r="Q73" t="str">
            <v>"</v>
          </cell>
          <cell r="R73" t="str">
            <v>, moments: [</v>
          </cell>
          <cell r="S73" t="str">
            <v>"</v>
          </cell>
          <cell r="T73" t="str">
            <v>Comunión</v>
          </cell>
          <cell r="U73" t="str">
            <v>", "</v>
          </cell>
          <cell r="V73" t="str">
            <v>Nuevo Testamento</v>
          </cell>
          <cell r="AE73" t="str">
            <v>"], url: "</v>
          </cell>
          <cell r="AF73" t="str">
            <v>/cantos/resucito/e/ellagarero.html</v>
          </cell>
          <cell r="AG73" t="str">
            <v>/cantos/resucito/e/ellagarero.html</v>
          </cell>
          <cell r="AH73" t="str">
            <v>"},</v>
          </cell>
          <cell r="AI73" t="str">
            <v>e</v>
          </cell>
          <cell r="AJ73" t="str">
            <v>p</v>
          </cell>
          <cell r="AK73" t="str">
            <v>{id:70,title: "ellagareroEl lagarero", subtitle: "Isaías 63,1-6", category: "PRECATECUMENADO", moments: ["Comunión", "Nuevo Testamento"], url: "/cantos/resucito/e/ellagarero.html/cantos/resucito/e/ellagarero.html"},</v>
          </cell>
          <cell r="AL73" t="str">
            <v>EL LAGARERO</v>
          </cell>
          <cell r="AM73" t="str">
            <v>ellagarero</v>
          </cell>
          <cell r="AN73" t="str">
            <v>Isaías 63,1-6</v>
          </cell>
          <cell r="AP73" t="str">
            <v>CANTO</v>
          </cell>
          <cell r="AQ73" t="str">
            <v>EL LAGARERO</v>
          </cell>
        </row>
        <row r="74">
          <cell r="A74">
            <v>57</v>
          </cell>
          <cell r="B74" t="str">
            <v>{id:</v>
          </cell>
          <cell r="C74">
            <v>71</v>
          </cell>
          <cell r="D74" t="str">
            <v>,</v>
          </cell>
          <cell r="E74" t="str">
            <v xml:space="preserve">title: </v>
          </cell>
          <cell r="F74" t="str">
            <v>"</v>
          </cell>
          <cell r="G74" t="str">
            <v>elmesiasleon</v>
          </cell>
          <cell r="H74" t="str">
            <v>El Mesías león</v>
          </cell>
          <cell r="I74" t="str">
            <v>",</v>
          </cell>
          <cell r="J74" t="str">
            <v xml:space="preserve"> subtitle: </v>
          </cell>
          <cell r="K74" t="str">
            <v>"</v>
          </cell>
          <cell r="L74" t="str">
            <v>Comentario al Apocalipsis (Victorino de Pettau)</v>
          </cell>
          <cell r="M74" t="str">
            <v xml:space="preserve">", </v>
          </cell>
          <cell r="N74" t="str">
            <v xml:space="preserve">category: </v>
          </cell>
          <cell r="O74" t="str">
            <v>"</v>
          </cell>
          <cell r="P74" t="str">
            <v>PRECATECUMENADO</v>
          </cell>
          <cell r="Q74" t="str">
            <v>"</v>
          </cell>
          <cell r="R74" t="str">
            <v>, moments: [</v>
          </cell>
          <cell r="S74" t="str">
            <v>"</v>
          </cell>
          <cell r="T74" t="str">
            <v>Antiguo Testamento</v>
          </cell>
          <cell r="AE74" t="str">
            <v>"], url: "</v>
          </cell>
          <cell r="AF74" t="str">
            <v>/cantos/resucito/e/elmesiasleon.html</v>
          </cell>
          <cell r="AG74" t="str">
            <v>/cantos/resucito/e/elmesiasleon.html</v>
          </cell>
          <cell r="AH74" t="str">
            <v>"},</v>
          </cell>
          <cell r="AI74" t="str">
            <v>e</v>
          </cell>
          <cell r="AJ74" t="str">
            <v>p</v>
          </cell>
          <cell r="AK74" t="str">
            <v>{id:71,title: "elmesiasleonEl Mesías león", subtitle: "Comentario al Apocalipsis (Victorino de Pettau)", category: "PRECATECUMENADO", moments: ["Antiguo Testamento"], url: "/cantos/resucito/e/elmesiasleon.html/cantos/resucito/e/elmesiasleon.html"},</v>
          </cell>
          <cell r="AL74" t="str">
            <v>EL MESÍAS LEÓN</v>
          </cell>
          <cell r="AM74" t="str">
            <v>elmesíasleón</v>
          </cell>
          <cell r="AN74" t="str">
            <v>Comentario al Apocalipsis (Victorino de Pettau)</v>
          </cell>
          <cell r="AP74" t="str">
            <v>CANTO</v>
          </cell>
          <cell r="AQ74" t="str">
            <v>EL MESÍAS LEÓN</v>
          </cell>
        </row>
        <row r="75">
          <cell r="A75">
            <v>224</v>
          </cell>
          <cell r="B75" t="str">
            <v>{id:</v>
          </cell>
          <cell r="C75">
            <v>72</v>
          </cell>
          <cell r="D75" t="str">
            <v>,</v>
          </cell>
          <cell r="E75" t="str">
            <v xml:space="preserve">title: </v>
          </cell>
          <cell r="F75" t="str">
            <v>"</v>
          </cell>
          <cell r="G75" t="str">
            <v>elmismodios</v>
          </cell>
          <cell r="H75" t="str">
            <v>El mismo Dios</v>
          </cell>
          <cell r="I75" t="str">
            <v>",</v>
          </cell>
          <cell r="J75" t="str">
            <v xml:space="preserve"> subtitle: </v>
          </cell>
          <cell r="K75" t="str">
            <v>"</v>
          </cell>
          <cell r="L75" t="str">
            <v>2 Corintios 4,6-12</v>
          </cell>
          <cell r="M75" t="str">
            <v xml:space="preserve">", </v>
          </cell>
          <cell r="N75" t="str">
            <v xml:space="preserve">category: </v>
          </cell>
          <cell r="O75" t="str">
            <v>"</v>
          </cell>
          <cell r="P75" t="str">
            <v>CATECUMENADO</v>
          </cell>
          <cell r="Q75" t="str">
            <v>"</v>
          </cell>
          <cell r="R75" t="str">
            <v>, moments: [</v>
          </cell>
          <cell r="S75" t="str">
            <v>"</v>
          </cell>
          <cell r="T75" t="str">
            <v>Navidad</v>
          </cell>
          <cell r="U75" t="str">
            <v>", "</v>
          </cell>
          <cell r="V75" t="str">
            <v>Antiguo Testamento</v>
          </cell>
          <cell r="AE75" t="str">
            <v>"], url: "</v>
          </cell>
          <cell r="AF75" t="str">
            <v>/cantos/resucito/e/elmismodios.html</v>
          </cell>
          <cell r="AG75" t="str">
            <v>/cantos/resucito/e/elmismodios.html</v>
          </cell>
          <cell r="AH75" t="str">
            <v>"},</v>
          </cell>
          <cell r="AI75" t="str">
            <v>e</v>
          </cell>
          <cell r="AJ75" t="str">
            <v>c</v>
          </cell>
          <cell r="AK75" t="str">
            <v>{id:72,title: "elmismodiosEl mismo Dios", subtitle: "2 Corintios 4,6-12", category: "CATECUMENADO", moments: ["Navidad", "Antiguo Testamento"], url: "/cantos/resucito/e/elmismodios.html/cantos/resucito/e/elmismodios.html"},</v>
          </cell>
          <cell r="AL75" t="str">
            <v>EL MISMO DIOS</v>
          </cell>
          <cell r="AM75" t="str">
            <v>elmismodios</v>
          </cell>
          <cell r="AN75" t="str">
            <v>2 Corintios 4,6-12</v>
          </cell>
          <cell r="AP75" t="str">
            <v>CANTO</v>
          </cell>
          <cell r="AQ75" t="str">
            <v>EL MISMO DIOS</v>
          </cell>
        </row>
        <row r="76">
          <cell r="A76">
            <v>58</v>
          </cell>
          <cell r="B76" t="str">
            <v>{id:</v>
          </cell>
          <cell r="C76">
            <v>73</v>
          </cell>
          <cell r="D76" t="str">
            <v>,</v>
          </cell>
          <cell r="E76" t="str">
            <v xml:space="preserve">title: </v>
          </cell>
          <cell r="F76" t="str">
            <v>"</v>
          </cell>
          <cell r="G76" t="str">
            <v>elneciopiensaquediosnoexiste</v>
          </cell>
          <cell r="H76" t="str">
            <v>El necio piensa que Dios no existe</v>
          </cell>
          <cell r="I76" t="str">
            <v>",</v>
          </cell>
          <cell r="J76" t="str">
            <v xml:space="preserve"> subtitle: </v>
          </cell>
          <cell r="K76" t="str">
            <v>"</v>
          </cell>
          <cell r="L76" t="str">
            <v>Salmo 14 (13)</v>
          </cell>
          <cell r="M76" t="str">
            <v xml:space="preserve">", </v>
          </cell>
          <cell r="N76" t="str">
            <v xml:space="preserve">category: </v>
          </cell>
          <cell r="O76" t="str">
            <v>"</v>
          </cell>
          <cell r="P76" t="str">
            <v>PRECATECUMENADO</v>
          </cell>
          <cell r="Q76" t="str">
            <v>"</v>
          </cell>
          <cell r="R76" t="str">
            <v>, moments: [</v>
          </cell>
          <cell r="S76" t="str">
            <v>"</v>
          </cell>
          <cell r="T76" t="str">
            <v>Entrada</v>
          </cell>
          <cell r="U76" t="str">
            <v>", "</v>
          </cell>
          <cell r="V76" t="str">
            <v>Nuevo Testamento</v>
          </cell>
          <cell r="AE76" t="str">
            <v>"], url: "</v>
          </cell>
          <cell r="AF76" t="str">
            <v>/cantos/resucito/e/elneciopiensaquediosnoexiste.html</v>
          </cell>
          <cell r="AG76" t="str">
            <v>/cantos/resucito/e/elneciopiensaquediosnoexiste.html</v>
          </cell>
          <cell r="AH76" t="str">
            <v>"},</v>
          </cell>
          <cell r="AI76" t="str">
            <v>e</v>
          </cell>
          <cell r="AJ76" t="str">
            <v>p</v>
          </cell>
          <cell r="AK76" t="str">
            <v>{id:73,title: "elneciopiensaquediosnoexisteEl necio piensa que Dios no existe", subtitle: "Salmo 14 (13)", category: "PRECATECUMENADO", moments: ["Entrada", "Nuevo Testamento"], url: "/cantos/resucito/e/elneciopiensaquediosnoexiste.html/cantos/resucito/e/elneciopiensaquediosnoexiste.html"},</v>
          </cell>
          <cell r="AL76" t="str">
            <v>EL NECIO PIENSA QUE DIOS NO EXISTE</v>
          </cell>
          <cell r="AM76" t="str">
            <v>elneciopiensaquediosnoexiste</v>
          </cell>
          <cell r="AN76" t="str">
            <v>Salmo 14 (13)</v>
          </cell>
          <cell r="AP76" t="str">
            <v>CANTO</v>
          </cell>
          <cell r="AQ76" t="str">
            <v>EL NECIO PIENSA QUE DIOS NO EXISTE</v>
          </cell>
        </row>
        <row r="77">
          <cell r="A77">
            <v>59</v>
          </cell>
          <cell r="B77" t="str">
            <v>{id:</v>
          </cell>
          <cell r="C77">
            <v>74</v>
          </cell>
          <cell r="D77" t="str">
            <v>,</v>
          </cell>
          <cell r="E77" t="str">
            <v xml:space="preserve">title: </v>
          </cell>
          <cell r="F77" t="str">
            <v>"</v>
          </cell>
          <cell r="G77" t="str">
            <v>elpuebloquecaminabaenlastinieblas</v>
          </cell>
          <cell r="H77" t="str">
            <v>El pueblo que caminaba en las tinieblas</v>
          </cell>
          <cell r="I77" t="str">
            <v>",</v>
          </cell>
          <cell r="J77" t="str">
            <v xml:space="preserve"> subtitle: </v>
          </cell>
          <cell r="K77" t="str">
            <v>"</v>
          </cell>
          <cell r="L77" t="str">
            <v>Isaías 9,1-5</v>
          </cell>
          <cell r="M77" t="str">
            <v xml:space="preserve">", </v>
          </cell>
          <cell r="N77" t="str">
            <v xml:space="preserve">category: </v>
          </cell>
          <cell r="O77" t="str">
            <v>"</v>
          </cell>
          <cell r="P77" t="str">
            <v>PRECATECUMENADO</v>
          </cell>
          <cell r="Q77" t="str">
            <v>"</v>
          </cell>
          <cell r="R77" t="str">
            <v>, moments: [</v>
          </cell>
          <cell r="S77" t="str">
            <v>"</v>
          </cell>
          <cell r="T77" t="str">
            <v>Adviento</v>
          </cell>
          <cell r="U77" t="str">
            <v>", "</v>
          </cell>
          <cell r="V77" t="str">
            <v>Entrada</v>
          </cell>
          <cell r="W77" t="str">
            <v>", "</v>
          </cell>
          <cell r="X77" t="str">
            <v>Antiguo Testamento</v>
          </cell>
          <cell r="AE77" t="str">
            <v>"], url: "</v>
          </cell>
          <cell r="AF77" t="str">
            <v>/cantos/resucito/e/elpuebloquecaminabaenlastinieblas.html</v>
          </cell>
          <cell r="AG77" t="str">
            <v>/cantos/resucito/e/elpuebloquecaminabaenlastinieblas.html</v>
          </cell>
          <cell r="AH77" t="str">
            <v>"},</v>
          </cell>
          <cell r="AI77" t="str">
            <v>e</v>
          </cell>
          <cell r="AJ77" t="str">
            <v>p</v>
          </cell>
          <cell r="AK77" t="str">
            <v>{id:74,title: "elpuebloquecaminabaenlastinieblasEl pueblo que caminaba en las tinieblas", subtitle: "Isaías 9,1-5", category: "PRECATECUMENADO", moments: ["Adviento", "Entrada", "Antiguo Testamento"], url: "/cantos/resucito/e/elpuebloquecaminabaenlastinieblas.html/cantos/resucito/e/elpuebloquecaminabaenlastinieblas.html"},</v>
          </cell>
          <cell r="AL77" t="str">
            <v>EL PUEBLO QUE CAMINABA EN LAS TINIEBLAS</v>
          </cell>
          <cell r="AM77" t="str">
            <v>elpuebloquecaminabaenlastinieblas</v>
          </cell>
          <cell r="AN77" t="str">
            <v>Isaías 9,1-5</v>
          </cell>
          <cell r="AP77" t="str">
            <v>CANTO</v>
          </cell>
          <cell r="AQ77" t="str">
            <v>EL PUEBLO QUE CAMINABA EN LAS TINIEBLAS</v>
          </cell>
        </row>
        <row r="78">
          <cell r="A78">
            <v>225</v>
          </cell>
          <cell r="B78" t="str">
            <v>{id:</v>
          </cell>
          <cell r="C78">
            <v>75</v>
          </cell>
          <cell r="D78" t="str">
            <v>,</v>
          </cell>
          <cell r="E78" t="str">
            <v xml:space="preserve">title: </v>
          </cell>
          <cell r="F78" t="str">
            <v>"</v>
          </cell>
          <cell r="G78" t="str">
            <v>elsembrador</v>
          </cell>
          <cell r="H78" t="str">
            <v>El sembrador</v>
          </cell>
          <cell r="I78" t="str">
            <v>",</v>
          </cell>
          <cell r="J78" t="str">
            <v xml:space="preserve"> subtitle: </v>
          </cell>
          <cell r="K78" t="str">
            <v>"</v>
          </cell>
          <cell r="L78" t="str">
            <v>Marcos 4,3ss</v>
          </cell>
          <cell r="M78" t="str">
            <v xml:space="preserve">", </v>
          </cell>
          <cell r="N78" t="str">
            <v xml:space="preserve">category: </v>
          </cell>
          <cell r="O78" t="str">
            <v>"</v>
          </cell>
          <cell r="P78" t="str">
            <v>CATECUMENADO</v>
          </cell>
          <cell r="Q78" t="str">
            <v>"</v>
          </cell>
          <cell r="R78" t="str">
            <v>, moments: [</v>
          </cell>
          <cell r="S78" t="str">
            <v>"</v>
          </cell>
          <cell r="T78" t="str">
            <v>Comunión</v>
          </cell>
          <cell r="U78" t="str">
            <v>", "</v>
          </cell>
          <cell r="V78" t="str">
            <v>Antiguo Testamento</v>
          </cell>
          <cell r="AE78" t="str">
            <v>"], url: "</v>
          </cell>
          <cell r="AF78" t="str">
            <v>/cantos/resucito/e/elsembrador.html</v>
          </cell>
          <cell r="AG78" t="str">
            <v>/cantos/resucito/e/elsembrador.html</v>
          </cell>
          <cell r="AH78" t="str">
            <v>"},</v>
          </cell>
          <cell r="AI78" t="str">
            <v>e</v>
          </cell>
          <cell r="AJ78" t="str">
            <v>c</v>
          </cell>
          <cell r="AK78" t="str">
            <v>{id:75,title: "elsembradorEl sembrador", subtitle: "Marcos 4,3ss", category: "CATECUMENADO", moments: ["Comunión", "Antiguo Testamento"], url: "/cantos/resucito/e/elsembrador.html/cantos/resucito/e/elsembrador.html"},</v>
          </cell>
          <cell r="AL78" t="str">
            <v>EL SEMBRADOR</v>
          </cell>
          <cell r="AM78" t="str">
            <v>elsembrador</v>
          </cell>
          <cell r="AN78" t="str">
            <v>Marcos 4,3ss</v>
          </cell>
          <cell r="AP78" t="str">
            <v>CANTO</v>
          </cell>
          <cell r="AQ78" t="str">
            <v>EL SEMBRADOR</v>
          </cell>
        </row>
        <row r="79">
          <cell r="A79">
            <v>60</v>
          </cell>
          <cell r="B79" t="str">
            <v>{id:</v>
          </cell>
          <cell r="C79">
            <v>76</v>
          </cell>
          <cell r="D79" t="str">
            <v>,</v>
          </cell>
          <cell r="E79" t="str">
            <v xml:space="preserve">title: </v>
          </cell>
          <cell r="F79" t="str">
            <v>"</v>
          </cell>
          <cell r="G79" t="str">
            <v>elsenoranunciaunanoticia</v>
          </cell>
          <cell r="H79" t="str">
            <v>El Señor anuncia una noticia</v>
          </cell>
          <cell r="I79" t="str">
            <v>",</v>
          </cell>
          <cell r="J79" t="str">
            <v xml:space="preserve"> subtitle: </v>
          </cell>
          <cell r="K79" t="str">
            <v>"</v>
          </cell>
          <cell r="L79" t="str">
            <v>Salmo 68 (67)</v>
          </cell>
          <cell r="M79" t="str">
            <v xml:space="preserve">", </v>
          </cell>
          <cell r="N79" t="str">
            <v xml:space="preserve">category: </v>
          </cell>
          <cell r="O79" t="str">
            <v>"</v>
          </cell>
          <cell r="P79" t="str">
            <v>PRECATECUMENADO</v>
          </cell>
          <cell r="Q79" t="str">
            <v>"</v>
          </cell>
          <cell r="R79" t="str">
            <v>, moments: [</v>
          </cell>
          <cell r="S79" t="str">
            <v>"</v>
          </cell>
          <cell r="T79" t="str">
            <v>Fracción del Pan</v>
          </cell>
          <cell r="U79" t="str">
            <v>", "</v>
          </cell>
          <cell r="V79" t="str">
            <v>Antiguo Testamento</v>
          </cell>
          <cell r="AE79" t="str">
            <v>"], url: "</v>
          </cell>
          <cell r="AF79" t="str">
            <v>/cantos/resucito/e/elsenoranunciaunanoticia.html</v>
          </cell>
          <cell r="AG79" t="str">
            <v>/cantos/resucito/e/elsenoranunciaunanoticia.html</v>
          </cell>
          <cell r="AH79" t="str">
            <v>"},</v>
          </cell>
          <cell r="AI79" t="str">
            <v>e</v>
          </cell>
          <cell r="AJ79" t="str">
            <v>p</v>
          </cell>
          <cell r="AK79" t="str">
            <v>{id:76,title: "elsenoranunciaunanoticiaEl Señor anuncia una noticia", subtitle: "Salmo 68 (67)", category: "PRECATECUMENADO", moments: ["Fracción del Pan", "Antiguo Testamento"], url: "/cantos/resucito/e/elsenoranunciaunanoticia.html/cantos/resucito/e/elsenoranunciaunanoticia.html"},</v>
          </cell>
          <cell r="AL79" t="str">
            <v>EL SEÑOR ANUNCIA UNA NOTICIA</v>
          </cell>
          <cell r="AM79" t="str">
            <v>elseñoranunciaunanoticia</v>
          </cell>
          <cell r="AN79" t="str">
            <v>Salmo 68 (67)</v>
          </cell>
          <cell r="AP79" t="str">
            <v>CANTO</v>
          </cell>
          <cell r="AQ79" t="str">
            <v>EL SEÑOR ANUNCIA UNA NOTICIA</v>
          </cell>
        </row>
        <row r="80">
          <cell r="A80">
            <v>61</v>
          </cell>
          <cell r="B80" t="str">
            <v>{id:</v>
          </cell>
          <cell r="C80">
            <v>77</v>
          </cell>
          <cell r="D80" t="str">
            <v>,</v>
          </cell>
          <cell r="E80" t="str">
            <v xml:space="preserve">title: </v>
          </cell>
          <cell r="F80" t="str">
            <v>"</v>
          </cell>
          <cell r="G80" t="str">
            <v>elsenoresmipastor</v>
          </cell>
          <cell r="H80" t="str">
            <v>El Señor es mi pastor</v>
          </cell>
          <cell r="I80" t="str">
            <v>",</v>
          </cell>
          <cell r="J80" t="str">
            <v xml:space="preserve"> subtitle: </v>
          </cell>
          <cell r="K80" t="str">
            <v>"</v>
          </cell>
          <cell r="L80" t="str">
            <v>Salmo 23 (22)</v>
          </cell>
          <cell r="M80" t="str">
            <v xml:space="preserve">", </v>
          </cell>
          <cell r="N80" t="str">
            <v xml:space="preserve">category: </v>
          </cell>
          <cell r="O80" t="str">
            <v>"</v>
          </cell>
          <cell r="P80" t="str">
            <v>PRECATECUMENADO</v>
          </cell>
          <cell r="Q80" t="str">
            <v>"</v>
          </cell>
          <cell r="R80" t="str">
            <v>, moments: [</v>
          </cell>
          <cell r="S80" t="str">
            <v>"</v>
          </cell>
          <cell r="T80" t="str">
            <v>Cuaresma</v>
          </cell>
          <cell r="U80" t="str">
            <v>", "</v>
          </cell>
          <cell r="V80" t="str">
            <v>Antiguo Testamento</v>
          </cell>
          <cell r="AE80" t="str">
            <v>"], url: "</v>
          </cell>
          <cell r="AF80" t="str">
            <v>/cantos/resucito/e/elsenoresmipastor.html</v>
          </cell>
          <cell r="AG80" t="str">
            <v>/cantos/resucito/e/elsenoresmipastor.html</v>
          </cell>
          <cell r="AH80" t="str">
            <v>"},</v>
          </cell>
          <cell r="AI80" t="str">
            <v>e</v>
          </cell>
          <cell r="AJ80" t="str">
            <v>p</v>
          </cell>
          <cell r="AK80" t="str">
            <v>{id:77,title: "elsenoresmipastorEl Señor es mi pastor", subtitle: "Salmo 23 (22)", category: "PRECATECUMENADO", moments: ["Cuaresma", "Antiguo Testamento"], url: "/cantos/resucito/e/elsenoresmipastor.html/cantos/resucito/e/elsenoresmipastor.html"},</v>
          </cell>
          <cell r="AL80" t="str">
            <v>EL SEÑOR ES MI PASTOR</v>
          </cell>
          <cell r="AM80" t="str">
            <v>elseñoresmipastor</v>
          </cell>
          <cell r="AN80" t="str">
            <v>Salmo 23 (22)</v>
          </cell>
          <cell r="AP80" t="str">
            <v>CANTO</v>
          </cell>
          <cell r="AQ80" t="str">
            <v>EL SEÑOR ES MI PASTOR</v>
          </cell>
        </row>
        <row r="81">
          <cell r="A81">
            <v>62</v>
          </cell>
          <cell r="B81" t="str">
            <v>{id:</v>
          </cell>
          <cell r="C81">
            <v>78</v>
          </cell>
          <cell r="D81" t="str">
            <v>,</v>
          </cell>
          <cell r="E81" t="str">
            <v xml:space="preserve">title: </v>
          </cell>
          <cell r="F81" t="str">
            <v>"</v>
          </cell>
          <cell r="G81" t="str">
            <v>elsenormehadado</v>
          </cell>
          <cell r="H81" t="str">
            <v>El Señor me ha dado</v>
          </cell>
          <cell r="I81" t="str">
            <v>",</v>
          </cell>
          <cell r="J81" t="str">
            <v xml:space="preserve"> subtitle: </v>
          </cell>
          <cell r="K81" t="str">
            <v>"</v>
          </cell>
          <cell r="L81" t="str">
            <v>Isaías 50,4-10  - Tercer canto del Siervo de Yahveh</v>
          </cell>
          <cell r="M81" t="str">
            <v xml:space="preserve">", </v>
          </cell>
          <cell r="N81" t="str">
            <v xml:space="preserve">category: </v>
          </cell>
          <cell r="O81" t="str">
            <v>"</v>
          </cell>
          <cell r="P81" t="str">
            <v>PRECATECUMENADO</v>
          </cell>
          <cell r="Q81" t="str">
            <v>"</v>
          </cell>
          <cell r="R81" t="str">
            <v>, moments: [</v>
          </cell>
          <cell r="S81" t="str">
            <v>"</v>
          </cell>
          <cell r="T81" t="str">
            <v>Entrada</v>
          </cell>
          <cell r="U81" t="str">
            <v>", "</v>
          </cell>
          <cell r="V81" t="str">
            <v>Comunión</v>
          </cell>
          <cell r="W81" t="str">
            <v>", "</v>
          </cell>
          <cell r="X81" t="str">
            <v>Nuevo Testamento</v>
          </cell>
          <cell r="AE81" t="str">
            <v>"], url: "</v>
          </cell>
          <cell r="AF81" t="str">
            <v>/cantos/resucito/e/elsenormehadado.html</v>
          </cell>
          <cell r="AG81" t="str">
            <v>/cantos/resucito/e/elsenormehadado.html</v>
          </cell>
          <cell r="AH81" t="str">
            <v>"},</v>
          </cell>
          <cell r="AI81" t="str">
            <v>e</v>
          </cell>
          <cell r="AJ81" t="str">
            <v>p</v>
          </cell>
          <cell r="AK81" t="str">
            <v>{id:78,title: "elsenormehadadoEl Señor me ha dado", subtitle: "Isaías 50,4-10  - Tercer canto del Siervo de Yahveh", category: "PRECATECUMENADO", moments: ["Entrada", "Comunión", "Nuevo Testamento"], url: "/cantos/resucito/e/elsenormehadado.html/cantos/resucito/e/elsenormehadado.html"},</v>
          </cell>
          <cell r="AL81" t="str">
            <v>EL SEÑOR ME HA DADO</v>
          </cell>
          <cell r="AM81" t="str">
            <v>elseñormehadado</v>
          </cell>
          <cell r="AN81" t="str">
            <v>Isaías 50,4-10  - Tercer canto del Siervo de Yahveh</v>
          </cell>
          <cell r="AP81" t="str">
            <v>CANTO</v>
          </cell>
          <cell r="AQ81" t="str">
            <v>EL SEÑOR ME HA DADO</v>
          </cell>
        </row>
        <row r="82">
          <cell r="A82">
            <v>63</v>
          </cell>
          <cell r="B82" t="str">
            <v>{id:</v>
          </cell>
          <cell r="C82">
            <v>79</v>
          </cell>
          <cell r="D82" t="str">
            <v>,</v>
          </cell>
          <cell r="E82" t="str">
            <v xml:space="preserve">title: </v>
          </cell>
          <cell r="F82" t="str">
            <v>"</v>
          </cell>
          <cell r="G82" t="str">
            <v>elielilamasabactani</v>
          </cell>
          <cell r="H82" t="str">
            <v>Elí, Elí, lamá sabactaní</v>
          </cell>
          <cell r="I82" t="str">
            <v>",</v>
          </cell>
          <cell r="J82" t="str">
            <v xml:space="preserve"> subtitle: </v>
          </cell>
          <cell r="K82" t="str">
            <v>"</v>
          </cell>
          <cell r="L82" t="str">
            <v>Salmo 22 (21)</v>
          </cell>
          <cell r="M82" t="str">
            <v xml:space="preserve">", </v>
          </cell>
          <cell r="N82" t="str">
            <v xml:space="preserve">category: </v>
          </cell>
          <cell r="O82" t="str">
            <v>"</v>
          </cell>
          <cell r="P82" t="str">
            <v>PRECATECUMENADO</v>
          </cell>
          <cell r="Q82" t="str">
            <v>"</v>
          </cell>
          <cell r="R82" t="str">
            <v>, moments: [</v>
          </cell>
          <cell r="S82" t="str">
            <v>"</v>
          </cell>
          <cell r="T82" t="str">
            <v>Fracción del Pan</v>
          </cell>
          <cell r="AE82" t="str">
            <v>"], url: "</v>
          </cell>
          <cell r="AF82" t="str">
            <v>/cantos/resucito/e/elielilamasabactani.html</v>
          </cell>
          <cell r="AG82" t="str">
            <v>/cantos/resucito/e/elielilamasabactani.html</v>
          </cell>
          <cell r="AH82" t="str">
            <v>"},</v>
          </cell>
          <cell r="AI82" t="str">
            <v>e</v>
          </cell>
          <cell r="AJ82" t="str">
            <v>p</v>
          </cell>
          <cell r="AK82" t="str">
            <v>{id:79,title: "elielilamasabactaniElí, Elí, lamá sabactaní", subtitle: "Salmo 22 (21)", category: "PRECATECUMENADO", moments: ["Fracción del Pan"], url: "/cantos/resucito/e/elielilamasabactani.html/cantos/resucito/e/elielilamasabactani.html"},</v>
          </cell>
          <cell r="AL82" t="str">
            <v>ELÍ, ELÍ, LAMÁ SABACTANÍ</v>
          </cell>
          <cell r="AM82" t="str">
            <v>elí,elí,lamásabactaní</v>
          </cell>
          <cell r="AN82" t="str">
            <v>Salmo 22 (21)</v>
          </cell>
          <cell r="AP82" t="str">
            <v>CANTO</v>
          </cell>
          <cell r="AQ82" t="str">
            <v>ELÍ, ELÍ, LAMÁ SABACTANÍ</v>
          </cell>
        </row>
        <row r="83">
          <cell r="A83">
            <v>64</v>
          </cell>
          <cell r="B83" t="str">
            <v>{id:</v>
          </cell>
          <cell r="C83">
            <v>80</v>
          </cell>
          <cell r="D83" t="str">
            <v>,</v>
          </cell>
          <cell r="E83" t="str">
            <v xml:space="preserve">title: </v>
          </cell>
          <cell r="F83" t="str">
            <v>"</v>
          </cell>
          <cell r="G83" t="str">
            <v>enmediodeaquelgentio</v>
          </cell>
          <cell r="H83" t="str">
            <v>En medio de aquel gentío</v>
          </cell>
          <cell r="I83" t="str">
            <v>",</v>
          </cell>
          <cell r="J83" t="str">
            <v xml:space="preserve"> subtitle: </v>
          </cell>
          <cell r="K83" t="str">
            <v>"</v>
          </cell>
          <cell r="L83" t="str">
            <v>Lucas 8,42b-48</v>
          </cell>
          <cell r="M83" t="str">
            <v xml:space="preserve">", </v>
          </cell>
          <cell r="N83" t="str">
            <v xml:space="preserve">category: </v>
          </cell>
          <cell r="O83" t="str">
            <v>"</v>
          </cell>
          <cell r="P83" t="str">
            <v>PRECATECUMENADO</v>
          </cell>
          <cell r="Q83" t="str">
            <v>"</v>
          </cell>
          <cell r="R83" t="str">
            <v>, moments: [</v>
          </cell>
          <cell r="S83" t="str">
            <v>"</v>
          </cell>
          <cell r="T83" t="str">
            <v>Laudes/Visperas</v>
          </cell>
          <cell r="U83" t="str">
            <v>", "</v>
          </cell>
          <cell r="V83" t="str">
            <v>Fracción del Pan</v>
          </cell>
          <cell r="W83" t="str">
            <v>", "</v>
          </cell>
          <cell r="X83" t="str">
            <v>Nuevo Testamento</v>
          </cell>
          <cell r="AE83" t="str">
            <v>"], url: "</v>
          </cell>
          <cell r="AF83" t="str">
            <v>/cantos/resucito/e/enmediodeaquelgentio.html</v>
          </cell>
          <cell r="AG83" t="str">
            <v>/cantos/resucito/e/enmediodeaquelgentio.html</v>
          </cell>
          <cell r="AH83" t="str">
            <v>"},</v>
          </cell>
          <cell r="AI83" t="str">
            <v>e</v>
          </cell>
          <cell r="AJ83" t="str">
            <v>p</v>
          </cell>
          <cell r="AK83" t="str">
            <v>{id:80,title: "enmediodeaquelgentioEn medio de aquel gentío", subtitle: "Lucas 8,42b-48", category: "PRECATECUMENADO", moments: ["Laudes/Visperas", "Fracción del Pan", "Nuevo Testamento"], url: "/cantos/resucito/e/enmediodeaquelgentio.html/cantos/resucito/e/enmediodeaquelgentio.html"},</v>
          </cell>
          <cell r="AL83" t="str">
            <v>EN MEDIO DE AQUEL GENTÍO</v>
          </cell>
          <cell r="AM83" t="str">
            <v>enmediodeaquelgentío</v>
          </cell>
          <cell r="AN83" t="str">
            <v>Lucas 8,42b-48</v>
          </cell>
          <cell r="AP83" t="str">
            <v>CANTO</v>
          </cell>
          <cell r="AQ83" t="str">
            <v>EN MEDIO DE AQUEL GENTÍO</v>
          </cell>
        </row>
        <row r="84">
          <cell r="A84">
            <v>65</v>
          </cell>
          <cell r="B84" t="str">
            <v>{id:</v>
          </cell>
          <cell r="C84">
            <v>81</v>
          </cell>
          <cell r="D84" t="str">
            <v>,</v>
          </cell>
          <cell r="E84" t="str">
            <v xml:space="preserve">title: </v>
          </cell>
          <cell r="F84" t="str">
            <v>"</v>
          </cell>
          <cell r="G84" t="str">
            <v>enunanocheoscura</v>
          </cell>
          <cell r="H84" t="str">
            <v>En una noche oscura</v>
          </cell>
          <cell r="I84" t="str">
            <v>",</v>
          </cell>
          <cell r="J84" t="str">
            <v xml:space="preserve"> subtitle: </v>
          </cell>
          <cell r="K84" t="str">
            <v>"</v>
          </cell>
          <cell r="L84" t="str">
            <v>Subida al Monte Carmelo – San Juan de la Cruz</v>
          </cell>
          <cell r="M84" t="str">
            <v xml:space="preserve">", </v>
          </cell>
          <cell r="N84" t="str">
            <v xml:space="preserve">category: </v>
          </cell>
          <cell r="O84" t="str">
            <v>"</v>
          </cell>
          <cell r="P84" t="str">
            <v>PRECATECUMENADO</v>
          </cell>
          <cell r="Q84" t="str">
            <v>"</v>
          </cell>
          <cell r="R84" t="str">
            <v>, moments: [</v>
          </cell>
          <cell r="S84" t="str">
            <v>"</v>
          </cell>
          <cell r="T84" t="str">
            <v>Entrada</v>
          </cell>
          <cell r="U84" t="str">
            <v>", "</v>
          </cell>
          <cell r="V84" t="str">
            <v>Final</v>
          </cell>
          <cell r="W84" t="str">
            <v>", "</v>
          </cell>
          <cell r="X84" t="str">
            <v>Antiguo Testamento</v>
          </cell>
          <cell r="AE84" t="str">
            <v>"], url: "</v>
          </cell>
          <cell r="AF84" t="str">
            <v>/cantos/resucito/e/enunanocheoscura.html</v>
          </cell>
          <cell r="AG84" t="str">
            <v>/cantos/resucito/e/enunanocheoscura.html</v>
          </cell>
          <cell r="AH84" t="str">
            <v>"},</v>
          </cell>
          <cell r="AI84" t="str">
            <v>e</v>
          </cell>
          <cell r="AJ84" t="str">
            <v>p</v>
          </cell>
          <cell r="AK84" t="str">
            <v>{id:81,title: "enunanocheoscuraEn una noche oscura", subtitle: "Subida al Monte Carmelo – San Juan de la Cruz", category: "PRECATECUMENADO", moments: ["Entrada", "Final", "Antiguo Testamento"], url: "/cantos/resucito/e/enunanocheoscura.html/cantos/resucito/e/enunanocheoscura.html"},</v>
          </cell>
          <cell r="AL84" t="str">
            <v>EN UNA NOCHE OSCURA</v>
          </cell>
          <cell r="AM84" t="str">
            <v>enunanocheoscura</v>
          </cell>
          <cell r="AN84" t="str">
            <v>Subida al Monte Carmelo – San Juan de la Cruz</v>
          </cell>
          <cell r="AP84" t="str">
            <v>CANTO</v>
          </cell>
          <cell r="AQ84" t="str">
            <v>EN UNA NOCHE OSCURA</v>
          </cell>
        </row>
        <row r="85">
          <cell r="A85">
            <v>66</v>
          </cell>
          <cell r="B85" t="str">
            <v>{id:</v>
          </cell>
          <cell r="C85">
            <v>82</v>
          </cell>
          <cell r="D85" t="str">
            <v>,</v>
          </cell>
          <cell r="E85" t="str">
            <v xml:space="preserve">title: </v>
          </cell>
          <cell r="F85" t="str">
            <v>"</v>
          </cell>
          <cell r="G85" t="str">
            <v>eresdignodetomarellibro</v>
          </cell>
          <cell r="H85" t="str">
            <v>Eres digno de tomar el libro</v>
          </cell>
          <cell r="I85" t="str">
            <v>",</v>
          </cell>
          <cell r="J85" t="str">
            <v xml:space="preserve"> subtitle: </v>
          </cell>
          <cell r="K85" t="str">
            <v>"</v>
          </cell>
          <cell r="L85" t="str">
            <v>Apocalipsis 5,9ss</v>
          </cell>
          <cell r="M85" t="str">
            <v xml:space="preserve">", </v>
          </cell>
          <cell r="N85" t="str">
            <v xml:space="preserve">category: </v>
          </cell>
          <cell r="O85" t="str">
            <v>"</v>
          </cell>
          <cell r="P85" t="str">
            <v>PRECATECUMENADO</v>
          </cell>
          <cell r="Q85" t="str">
            <v>"</v>
          </cell>
          <cell r="R85" t="str">
            <v>, moments: [</v>
          </cell>
          <cell r="S85" t="str">
            <v>"</v>
          </cell>
          <cell r="T85" t="str">
            <v>Laudes/Visperas</v>
          </cell>
          <cell r="U85" t="str">
            <v>", "</v>
          </cell>
          <cell r="V85" t="str">
            <v>Antiguo Testamento</v>
          </cell>
          <cell r="AE85" t="str">
            <v>"], url: "</v>
          </cell>
          <cell r="AF85" t="str">
            <v>/cantos/resucito/e/eresdignodetomarellibro.html</v>
          </cell>
          <cell r="AG85" t="str">
            <v>/cantos/resucito/e/eresdignodetomarellibro.html</v>
          </cell>
          <cell r="AH85" t="str">
            <v>"},</v>
          </cell>
          <cell r="AI85" t="str">
            <v>e</v>
          </cell>
          <cell r="AJ85" t="str">
            <v>p</v>
          </cell>
          <cell r="AK85" t="str">
            <v>{id:82,title: "eresdignodetomarellibroEres digno de tomar el libro", subtitle: "Apocalipsis 5,9ss", category: "PRECATECUMENADO", moments: ["Laudes/Visperas", "Antiguo Testamento"], url: "/cantos/resucito/e/eresdignodetomarellibro.html/cantos/resucito/e/eresdignodetomarellibro.html"},</v>
          </cell>
          <cell r="AL85" t="str">
            <v>ERES DIGNO DE TOMAR EL LIBRO</v>
          </cell>
          <cell r="AM85" t="str">
            <v>eresdignodetomarellibro</v>
          </cell>
          <cell r="AN85" t="str">
            <v>Apocalipsis 5,9ss</v>
          </cell>
          <cell r="AP85" t="str">
            <v>CANTO</v>
          </cell>
          <cell r="AQ85" t="str">
            <v>ERES DIGNO DE TOMAR EL LIBRO</v>
          </cell>
        </row>
        <row r="86">
          <cell r="A86">
            <v>67</v>
          </cell>
          <cell r="B86" t="str">
            <v>{id:</v>
          </cell>
          <cell r="C86">
            <v>83</v>
          </cell>
          <cell r="D86" t="str">
            <v>,</v>
          </cell>
          <cell r="E86" t="str">
            <v xml:space="preserve">title: </v>
          </cell>
          <cell r="F86" t="str">
            <v>"</v>
          </cell>
          <cell r="G86" t="str">
            <v>ereshermoso</v>
          </cell>
          <cell r="H86" t="str">
            <v>Eres hermoso</v>
          </cell>
          <cell r="I86" t="str">
            <v>",</v>
          </cell>
          <cell r="J86" t="str">
            <v xml:space="preserve"> subtitle: </v>
          </cell>
          <cell r="K86" t="str">
            <v>"</v>
          </cell>
          <cell r="L86" t="str">
            <v xml:space="preserve">Salmo 45 (44) </v>
          </cell>
          <cell r="M86" t="str">
            <v xml:space="preserve">", </v>
          </cell>
          <cell r="N86" t="str">
            <v xml:space="preserve">category: </v>
          </cell>
          <cell r="O86" t="str">
            <v>"</v>
          </cell>
          <cell r="P86" t="str">
            <v>PRECATECUMENADO</v>
          </cell>
          <cell r="Q86" t="str">
            <v>"</v>
          </cell>
          <cell r="R86" t="str">
            <v>, moments: [</v>
          </cell>
          <cell r="S86" t="str">
            <v>"</v>
          </cell>
          <cell r="T86" t="str">
            <v>Entrada</v>
          </cell>
          <cell r="U86" t="str">
            <v>", "</v>
          </cell>
          <cell r="V86" t="str">
            <v>Fracción del Pan</v>
          </cell>
          <cell r="W86" t="str">
            <v>", "</v>
          </cell>
          <cell r="X86" t="str">
            <v>Antiguo Testamento</v>
          </cell>
          <cell r="AE86" t="str">
            <v>"], url: "</v>
          </cell>
          <cell r="AF86" t="str">
            <v>/cantos/resucito/e/ereshermoso.html</v>
          </cell>
          <cell r="AG86" t="str">
            <v>/cantos/resucito/e/ereshermoso.html</v>
          </cell>
          <cell r="AH86" t="str">
            <v>"},</v>
          </cell>
          <cell r="AI86" t="str">
            <v>e</v>
          </cell>
          <cell r="AJ86" t="str">
            <v>p</v>
          </cell>
          <cell r="AK86" t="str">
            <v>{id:83,title: "ereshermosoEres hermoso", subtitle: "Salmo 45 (44) ", category: "PRECATECUMENADO", moments: ["Entrada", "Fracción del Pan", "Antiguo Testamento"], url: "/cantos/resucito/e/ereshermoso.html/cantos/resucito/e/ereshermoso.html"},</v>
          </cell>
          <cell r="AL86" t="str">
            <v>ERES HERMOSO</v>
          </cell>
          <cell r="AM86" t="str">
            <v>ereshermoso</v>
          </cell>
          <cell r="AN86" t="str">
            <v xml:space="preserve">Salmo 45 (44) </v>
          </cell>
          <cell r="AP86" t="str">
            <v>CANTO</v>
          </cell>
          <cell r="AQ86" t="str">
            <v>ERES HERMOSO</v>
          </cell>
        </row>
        <row r="87">
          <cell r="A87">
            <v>68</v>
          </cell>
          <cell r="B87" t="str">
            <v>{id:</v>
          </cell>
          <cell r="C87">
            <v>84</v>
          </cell>
          <cell r="D87" t="str">
            <v>,</v>
          </cell>
          <cell r="E87" t="str">
            <v xml:space="preserve">title: </v>
          </cell>
          <cell r="F87" t="str">
            <v>"</v>
          </cell>
          <cell r="G87" t="str">
            <v>espaciente</v>
          </cell>
          <cell r="H87" t="str">
            <v>Es paciente</v>
          </cell>
          <cell r="I87" t="str">
            <v>",</v>
          </cell>
          <cell r="J87" t="str">
            <v xml:space="preserve"> subtitle: </v>
          </cell>
          <cell r="K87" t="str">
            <v>"</v>
          </cell>
          <cell r="L87" t="str">
            <v xml:space="preserve">Himno al Espíritu Santo (Kiko Argüello) </v>
          </cell>
          <cell r="M87" t="str">
            <v xml:space="preserve">", </v>
          </cell>
          <cell r="N87" t="str">
            <v xml:space="preserve">category: </v>
          </cell>
          <cell r="O87" t="str">
            <v>"</v>
          </cell>
          <cell r="P87" t="str">
            <v>PRECATECUMENADO</v>
          </cell>
          <cell r="Q87" t="str">
            <v>"</v>
          </cell>
          <cell r="R87" t="str">
            <v>, moments: [</v>
          </cell>
          <cell r="S87" t="str">
            <v>"</v>
          </cell>
          <cell r="AE87" t="str">
            <v>"], url: "</v>
          </cell>
          <cell r="AF87" t="str">
            <v>/cantos/resucito/e/espaciente.html</v>
          </cell>
          <cell r="AG87" t="str">
            <v>/cantos/resucito/e/espaciente.html</v>
          </cell>
          <cell r="AH87" t="str">
            <v>"},</v>
          </cell>
          <cell r="AI87" t="str">
            <v>e</v>
          </cell>
          <cell r="AJ87" t="str">
            <v>p</v>
          </cell>
          <cell r="AK87" t="str">
            <v>{id:84,title: "espacienteEs paciente", subtitle: "Himno al Espíritu Santo (Kiko Argüello) ", category: "PRECATECUMENADO", moments: [""], url: "/cantos/resucito/e/espaciente.html/cantos/resucito/e/espaciente.html"},</v>
          </cell>
          <cell r="AL87" t="str">
            <v>ES PACIENTE</v>
          </cell>
          <cell r="AM87" t="str">
            <v>espaciente</v>
          </cell>
          <cell r="AN87" t="str">
            <v xml:space="preserve">Himno al Espíritu Santo (Kiko Argüello) </v>
          </cell>
          <cell r="AP87" t="str">
            <v>CANTO</v>
          </cell>
          <cell r="AQ87" t="str">
            <v>ES PACIENTE</v>
          </cell>
        </row>
        <row r="88">
          <cell r="A88">
            <v>69</v>
          </cell>
          <cell r="B88" t="str">
            <v>{id:</v>
          </cell>
          <cell r="C88">
            <v>85</v>
          </cell>
          <cell r="D88" t="str">
            <v>,</v>
          </cell>
          <cell r="E88" t="str">
            <v xml:space="preserve">title: </v>
          </cell>
          <cell r="F88" t="str">
            <v>"</v>
          </cell>
          <cell r="G88" t="str">
            <v>escondemeenloocultodetutienda</v>
          </cell>
          <cell r="H88" t="str">
            <v>Escóndeme en lo oculto de tu tienda</v>
          </cell>
          <cell r="I88" t="str">
            <v>",</v>
          </cell>
          <cell r="J88" t="str">
            <v xml:space="preserve"> subtitle: </v>
          </cell>
          <cell r="K88" t="str">
            <v>"</v>
          </cell>
          <cell r="L88" t="str">
            <v>Salmo 27 (26)</v>
          </cell>
          <cell r="M88" t="str">
            <v xml:space="preserve">", </v>
          </cell>
          <cell r="N88" t="str">
            <v xml:space="preserve">category: </v>
          </cell>
          <cell r="O88" t="str">
            <v>"</v>
          </cell>
          <cell r="P88" t="str">
            <v>PRECATECUMENADO</v>
          </cell>
          <cell r="Q88" t="str">
            <v>"</v>
          </cell>
          <cell r="R88" t="str">
            <v>, moments: [</v>
          </cell>
          <cell r="S88" t="str">
            <v>"</v>
          </cell>
          <cell r="T88" t="str">
            <v>Antiguo Testamento</v>
          </cell>
          <cell r="AE88" t="str">
            <v>"], url: "</v>
          </cell>
          <cell r="AF88" t="str">
            <v>/cantos/resucito/e/escondemeenloocultodetutienda.html</v>
          </cell>
          <cell r="AG88" t="str">
            <v>/cantos/resucito/e/escondemeenloocultodetutienda.html</v>
          </cell>
          <cell r="AH88" t="str">
            <v>"},</v>
          </cell>
          <cell r="AI88" t="str">
            <v>e</v>
          </cell>
          <cell r="AJ88" t="str">
            <v>p</v>
          </cell>
          <cell r="AK88" t="str">
            <v>{id:85,title: "escondemeenloocultodetutiendaEscóndeme en lo oculto de tu tienda", subtitle: "Salmo 27 (26)", category: "PRECATECUMENADO", moments: ["Antiguo Testamento"], url: "/cantos/resucito/e/escondemeenloocultodetutienda.html/cantos/resucito/e/escondemeenloocultodetutienda.html"},</v>
          </cell>
          <cell r="AL88" t="str">
            <v>ESCÓNDEME EN LO OCULTO DE TU TIENDA</v>
          </cell>
          <cell r="AM88" t="str">
            <v>escóndemeenloocultodetutienda</v>
          </cell>
          <cell r="AN88" t="str">
            <v>Salmo 27 (26)</v>
          </cell>
          <cell r="AP88" t="str">
            <v>CANTO</v>
          </cell>
          <cell r="AQ88" t="str">
            <v>ESCÓNDEME EN LO OCULTO DE TU TIENDA</v>
          </cell>
        </row>
        <row r="89">
          <cell r="A89">
            <v>70</v>
          </cell>
          <cell r="B89" t="str">
            <v>{id:</v>
          </cell>
          <cell r="C89">
            <v>86</v>
          </cell>
          <cell r="D89" t="str">
            <v>,</v>
          </cell>
          <cell r="E89" t="str">
            <v xml:space="preserve">title: </v>
          </cell>
          <cell r="F89" t="str">
            <v>"</v>
          </cell>
          <cell r="G89" t="str">
            <v>escuchadislaslejanas</v>
          </cell>
          <cell r="H89" t="str">
            <v>Escuchad, islas lejanas</v>
          </cell>
          <cell r="I89" t="str">
            <v>",</v>
          </cell>
          <cell r="J89" t="str">
            <v xml:space="preserve"> subtitle: </v>
          </cell>
          <cell r="K89" t="str">
            <v>"</v>
          </cell>
          <cell r="L89" t="str">
            <v>Isaias 49,1-16 - Segundo canto de Siervo de Yahveh</v>
          </cell>
          <cell r="M89" t="str">
            <v xml:space="preserve">", </v>
          </cell>
          <cell r="N89" t="str">
            <v xml:space="preserve">category: </v>
          </cell>
          <cell r="O89" t="str">
            <v>"</v>
          </cell>
          <cell r="P89" t="str">
            <v>PRECATECUMENADO</v>
          </cell>
          <cell r="Q89" t="str">
            <v>"</v>
          </cell>
          <cell r="R89" t="str">
            <v>, moments: [</v>
          </cell>
          <cell r="S89" t="str">
            <v>"</v>
          </cell>
          <cell r="T89" t="str">
            <v>Pascua</v>
          </cell>
          <cell r="U89" t="str">
            <v>", "</v>
          </cell>
          <cell r="V89" t="str">
            <v>Fracción del Fracción del Pan</v>
          </cell>
          <cell r="W89" t="str">
            <v>", "</v>
          </cell>
          <cell r="X89" t="str">
            <v>Comunión</v>
          </cell>
          <cell r="Y89" t="str">
            <v>", "</v>
          </cell>
          <cell r="Z89" t="str">
            <v>Nuevo Testamento</v>
          </cell>
          <cell r="AE89" t="str">
            <v>"], url: "</v>
          </cell>
          <cell r="AF89" t="str">
            <v>/cantos/resucito/e/escuchadislaslejanas.html</v>
          </cell>
          <cell r="AG89" t="str">
            <v>/cantos/resucito/e/escuchadislaslejanas.html</v>
          </cell>
          <cell r="AH89" t="str">
            <v>"},</v>
          </cell>
          <cell r="AI89" t="str">
            <v>e</v>
          </cell>
          <cell r="AJ89" t="str">
            <v>p</v>
          </cell>
          <cell r="AK89" t="str">
            <v>{id:86,title: "escuchadislaslejanasEscuchad, islas lejanas", subtitle: "Isaias 49,1-16 - Segundo canto de Siervo de Yahveh", category: "PRECATECUMENADO", moments: ["Pascua", "Fracción del Fracción del Pan", "Comunión", "Nuevo Testamento"], url: "/cantos/resucito/e/escuchadislaslejanas.html/cantos/resucito/e/escuchadislaslejanas.html"},</v>
          </cell>
          <cell r="AL89" t="str">
            <v>ESCUCHAD, ISLAS LEJANAS</v>
          </cell>
          <cell r="AM89" t="str">
            <v>escuchad,islaslejanas</v>
          </cell>
          <cell r="AN89" t="str">
            <v>Isaias 49,1-16 - Segundo canto de Siervo de Yahveh</v>
          </cell>
          <cell r="AP89" t="str">
            <v>CANTO</v>
          </cell>
          <cell r="AQ89" t="str">
            <v>ESCUCHAD, ISLAS LEJANAS</v>
          </cell>
        </row>
        <row r="90">
          <cell r="A90">
            <v>71</v>
          </cell>
          <cell r="B90" t="str">
            <v>{id:</v>
          </cell>
          <cell r="C90">
            <v>87</v>
          </cell>
          <cell r="D90" t="str">
            <v>,</v>
          </cell>
          <cell r="E90" t="str">
            <v xml:space="preserve">title: </v>
          </cell>
          <cell r="F90" t="str">
            <v>"</v>
          </cell>
          <cell r="G90" t="str">
            <v>esteeseldiaenqueactuoelsenor</v>
          </cell>
          <cell r="H90" t="str">
            <v>Éste es el día en que actuó el Señor</v>
          </cell>
          <cell r="I90" t="str">
            <v>",</v>
          </cell>
          <cell r="J90" t="str">
            <v xml:space="preserve"> subtitle: </v>
          </cell>
          <cell r="K90" t="str">
            <v>"</v>
          </cell>
          <cell r="L90" t="str">
            <v>Sal 118 (117)</v>
          </cell>
          <cell r="M90" t="str">
            <v xml:space="preserve">", </v>
          </cell>
          <cell r="N90" t="str">
            <v xml:space="preserve">category: </v>
          </cell>
          <cell r="O90" t="str">
            <v>"</v>
          </cell>
          <cell r="P90" t="str">
            <v>PRECATECUMENADO</v>
          </cell>
          <cell r="Q90" t="str">
            <v>"</v>
          </cell>
          <cell r="R90" t="str">
            <v>, moments: [</v>
          </cell>
          <cell r="S90" t="str">
            <v>"</v>
          </cell>
          <cell r="T90" t="str">
            <v>Paz</v>
          </cell>
          <cell r="AE90" t="str">
            <v>"], url: "</v>
          </cell>
          <cell r="AF90" t="str">
            <v>/cantos/resucito/é/esteeseldiaenqueactuoelsenor.html</v>
          </cell>
          <cell r="AG90" t="str">
            <v>/cantos/resucito/é/esteeseldiaenqueactuoelsenor.html</v>
          </cell>
          <cell r="AH90" t="str">
            <v>"},</v>
          </cell>
          <cell r="AI90" t="str">
            <v>é</v>
          </cell>
          <cell r="AJ90" t="str">
            <v>p</v>
          </cell>
          <cell r="AK90" t="str">
            <v>{id:87,title: "esteeseldiaenqueactuoelsenorÉste es el día en que actuó el Señor", subtitle: "Sal 118 (117)", category: "PRECATECUMENADO", moments: ["Paz"], url: "/cantos/resucito/é/esteeseldiaenqueactuoelsenor.html/cantos/resucito/é/esteeseldiaenqueactuoelsenor.html"},</v>
          </cell>
          <cell r="AL90" t="str">
            <v>ÉSTE ES EL DÍA EN QUE ACTUÓ EL SEÑOR</v>
          </cell>
          <cell r="AM90" t="str">
            <v>ésteeseldíaenqueactuóelseñor</v>
          </cell>
          <cell r="AN90" t="str">
            <v>Sal 118 (117)</v>
          </cell>
          <cell r="AP90" t="str">
            <v>CANTO</v>
          </cell>
          <cell r="AQ90" t="str">
            <v>ÉSTE ES EL DÍA EN QUE ACTUÓ EL SEÑOR</v>
          </cell>
        </row>
        <row r="91">
          <cell r="A91">
            <v>72</v>
          </cell>
          <cell r="B91" t="str">
            <v>{id:</v>
          </cell>
          <cell r="C91">
            <v>88</v>
          </cell>
          <cell r="D91" t="str">
            <v>,</v>
          </cell>
          <cell r="E91" t="str">
            <v xml:space="preserve">title: </v>
          </cell>
          <cell r="F91" t="str">
            <v>"</v>
          </cell>
          <cell r="G91" t="str">
            <v>esteeselmandamientomio</v>
          </cell>
          <cell r="H91" t="str">
            <v>Este es el mandamiento mío</v>
          </cell>
          <cell r="I91" t="str">
            <v>",</v>
          </cell>
          <cell r="J91" t="str">
            <v xml:space="preserve"> subtitle: </v>
          </cell>
          <cell r="K91" t="str">
            <v>"</v>
          </cell>
          <cell r="L91" t="str">
            <v>Jn 15,12ss</v>
          </cell>
          <cell r="M91" t="str">
            <v xml:space="preserve">", </v>
          </cell>
          <cell r="N91" t="str">
            <v xml:space="preserve">category: </v>
          </cell>
          <cell r="O91" t="str">
            <v>"</v>
          </cell>
          <cell r="P91" t="str">
            <v>PRECATECUMENADO</v>
          </cell>
          <cell r="Q91" t="str">
            <v>"</v>
          </cell>
          <cell r="R91" t="str">
            <v>, moments: [</v>
          </cell>
          <cell r="S91" t="str">
            <v>"</v>
          </cell>
          <cell r="T91" t="str">
            <v>Cuaresma</v>
          </cell>
          <cell r="U91" t="str">
            <v>", "</v>
          </cell>
          <cell r="V91" t="str">
            <v>Fracción del Pan</v>
          </cell>
          <cell r="AE91" t="str">
            <v>"], url: "</v>
          </cell>
          <cell r="AF91" t="str">
            <v>/cantos/resucito/e/esteeselmandamientomio.html</v>
          </cell>
          <cell r="AG91" t="str">
            <v>/cantos/resucito/e/esteeselmandamientomio.html</v>
          </cell>
          <cell r="AH91" t="str">
            <v>"},</v>
          </cell>
          <cell r="AI91" t="str">
            <v>e</v>
          </cell>
          <cell r="AJ91" t="str">
            <v>p</v>
          </cell>
          <cell r="AK91" t="str">
            <v>{id:88,title: "esteeselmandamientomioEste es el mandamiento mío", subtitle: "Jn 15,12ss", category: "PRECATECUMENADO", moments: ["Cuaresma", "Fracción del Pan"], url: "/cantos/resucito/e/esteeselmandamientomio.html/cantos/resucito/e/esteeselmandamientomio.html"},</v>
          </cell>
          <cell r="AL91" t="str">
            <v>ESTE ES EL MANDAMIENTO MÍO</v>
          </cell>
          <cell r="AM91" t="str">
            <v>esteeselmandamientomío</v>
          </cell>
          <cell r="AN91" t="str">
            <v>Jn 15,12ss</v>
          </cell>
          <cell r="AP91" t="str">
            <v>CANTO</v>
          </cell>
          <cell r="AQ91" t="str">
            <v>ESTE ES EL MANDAMIENTO MÍO</v>
          </cell>
        </row>
        <row r="92">
          <cell r="A92">
            <v>73</v>
          </cell>
          <cell r="B92" t="str">
            <v>{id:</v>
          </cell>
          <cell r="C92">
            <v>89</v>
          </cell>
          <cell r="D92" t="str">
            <v>,</v>
          </cell>
          <cell r="E92" t="str">
            <v xml:space="preserve">title: </v>
          </cell>
          <cell r="F92" t="str">
            <v>"</v>
          </cell>
          <cell r="G92" t="str">
            <v>evenushalomalejem</v>
          </cell>
          <cell r="H92" t="str">
            <v>Evenu shalom alejem</v>
          </cell>
          <cell r="I92" t="str">
            <v>",</v>
          </cell>
          <cell r="J92" t="str">
            <v xml:space="preserve"> subtitle: </v>
          </cell>
          <cell r="K92" t="str">
            <v>"</v>
          </cell>
          <cell r="L92" t="str">
            <v>Melodía hebraica</v>
          </cell>
          <cell r="M92" t="str">
            <v xml:space="preserve">", </v>
          </cell>
          <cell r="N92" t="str">
            <v xml:space="preserve">category: </v>
          </cell>
          <cell r="O92" t="str">
            <v>"</v>
          </cell>
          <cell r="P92" t="str">
            <v>PRECATECUMENADO</v>
          </cell>
          <cell r="Q92" t="str">
            <v>"</v>
          </cell>
          <cell r="R92" t="str">
            <v>, moments: [</v>
          </cell>
          <cell r="S92" t="str">
            <v>"</v>
          </cell>
          <cell r="T92" t="str">
            <v>Antiguo Testamento</v>
          </cell>
          <cell r="AE92" t="str">
            <v>"], url: "</v>
          </cell>
          <cell r="AF92" t="str">
            <v>/cantos/resucito/e/evenushalomalejem.html</v>
          </cell>
          <cell r="AG92" t="str">
            <v>/cantos/resucito/e/evenushalomalejem.html</v>
          </cell>
          <cell r="AH92" t="str">
            <v>"},</v>
          </cell>
          <cell r="AI92" t="str">
            <v>e</v>
          </cell>
          <cell r="AJ92" t="str">
            <v>p</v>
          </cell>
          <cell r="AK92" t="str">
            <v>{id:89,title: "evenushalomalejemEvenu shalom alejem", subtitle: "Melodía hebraica", category: "PRECATECUMENADO", moments: ["Antiguo Testamento"], url: "/cantos/resucito/e/evenushalomalejem.html/cantos/resucito/e/evenushalomalejem.html"},</v>
          </cell>
          <cell r="AL92" t="str">
            <v>EVENU SHALOM ALEJEM</v>
          </cell>
          <cell r="AM92" t="str">
            <v>evenushalomalejem</v>
          </cell>
          <cell r="AN92" t="str">
            <v>Melodía hebraica</v>
          </cell>
          <cell r="AP92" t="str">
            <v>CANTO</v>
          </cell>
          <cell r="AQ92" t="str">
            <v>EVENU SHALOM ALEJEM</v>
          </cell>
        </row>
        <row r="93">
          <cell r="A93">
            <v>74</v>
          </cell>
          <cell r="B93" t="str">
            <v>{id:</v>
          </cell>
          <cell r="C93">
            <v>90</v>
          </cell>
          <cell r="D93" t="str">
            <v>,</v>
          </cell>
          <cell r="E93" t="str">
            <v xml:space="preserve">title: </v>
          </cell>
          <cell r="F93" t="str">
            <v>"</v>
          </cell>
          <cell r="G93" t="str">
            <v>extiendomismanos</v>
          </cell>
          <cell r="H93" t="str">
            <v>Extiendo mis manos</v>
          </cell>
          <cell r="I93" t="str">
            <v>",</v>
          </cell>
          <cell r="J93" t="str">
            <v xml:space="preserve"> subtitle: </v>
          </cell>
          <cell r="K93" t="str">
            <v>"</v>
          </cell>
          <cell r="L93" t="str">
            <v>Oda XXVII de Salomón</v>
          </cell>
          <cell r="M93" t="str">
            <v xml:space="preserve">", </v>
          </cell>
          <cell r="N93" t="str">
            <v xml:space="preserve">category: </v>
          </cell>
          <cell r="O93" t="str">
            <v>"</v>
          </cell>
          <cell r="P93" t="str">
            <v>PRECATECUMENADO</v>
          </cell>
          <cell r="Q93" t="str">
            <v>"</v>
          </cell>
          <cell r="R93" t="str">
            <v>, moments: [</v>
          </cell>
          <cell r="S93" t="str">
            <v>"</v>
          </cell>
          <cell r="T93" t="str">
            <v>Antiguo Testamento</v>
          </cell>
          <cell r="AE93" t="str">
            <v>"], url: "</v>
          </cell>
          <cell r="AF93" t="str">
            <v>/cantos/resucito/e/extiendomismanos.html</v>
          </cell>
          <cell r="AG93" t="str">
            <v>/cantos/resucito/e/extiendomismanos.html</v>
          </cell>
          <cell r="AH93" t="str">
            <v>"},</v>
          </cell>
          <cell r="AI93" t="str">
            <v>e</v>
          </cell>
          <cell r="AJ93" t="str">
            <v>p</v>
          </cell>
          <cell r="AK93" t="str">
            <v>{id:90,title: "extiendomismanosExtiendo mis manos", subtitle: "Oda XXVII de Salomón", category: "PRECATECUMENADO", moments: ["Antiguo Testamento"], url: "/cantos/resucito/e/extiendomismanos.html/cantos/resucito/e/extiendomismanos.html"},</v>
          </cell>
          <cell r="AL93" t="str">
            <v>EXTIENDO MIS MANOS</v>
          </cell>
          <cell r="AM93" t="str">
            <v>extiendomismanos</v>
          </cell>
          <cell r="AN93" t="str">
            <v>Oda XXVII de Salomón</v>
          </cell>
          <cell r="AP93" t="str">
            <v>CANTO</v>
          </cell>
          <cell r="AQ93" t="str">
            <v>EXTIENDO MIS MANOS</v>
          </cell>
        </row>
        <row r="94">
          <cell r="A94">
            <v>75</v>
          </cell>
          <cell r="B94" t="str">
            <v>{id:</v>
          </cell>
          <cell r="C94">
            <v>91</v>
          </cell>
          <cell r="D94" t="str">
            <v>,</v>
          </cell>
          <cell r="E94" t="str">
            <v xml:space="preserve">title: </v>
          </cell>
          <cell r="F94" t="str">
            <v>"</v>
          </cell>
          <cell r="G94" t="str">
            <v>exultadjustosenelsenor</v>
          </cell>
          <cell r="H94" t="str">
            <v>Exultad, justos, en el Señor</v>
          </cell>
          <cell r="I94" t="str">
            <v>",</v>
          </cell>
          <cell r="J94" t="str">
            <v xml:space="preserve"> subtitle: </v>
          </cell>
          <cell r="K94" t="str">
            <v>"</v>
          </cell>
          <cell r="L94" t="str">
            <v>Sal 33 (32)</v>
          </cell>
          <cell r="M94" t="str">
            <v xml:space="preserve">", </v>
          </cell>
          <cell r="N94" t="str">
            <v xml:space="preserve">category: </v>
          </cell>
          <cell r="O94" t="str">
            <v>"</v>
          </cell>
          <cell r="P94" t="str">
            <v>PRECATECUMENADO</v>
          </cell>
          <cell r="Q94" t="str">
            <v>"</v>
          </cell>
          <cell r="R94" t="str">
            <v>, moments: [</v>
          </cell>
          <cell r="S94" t="str">
            <v>"</v>
          </cell>
          <cell r="T94" t="str">
            <v>Pascua</v>
          </cell>
          <cell r="AE94" t="str">
            <v>"], url: "</v>
          </cell>
          <cell r="AF94" t="str">
            <v>/cantos/resucito/e/exultadjustosenelsenor.html</v>
          </cell>
          <cell r="AG94" t="str">
            <v>/cantos/resucito/e/exultadjustosenelsenor.html</v>
          </cell>
          <cell r="AH94" t="str">
            <v>"},</v>
          </cell>
          <cell r="AI94" t="str">
            <v>e</v>
          </cell>
          <cell r="AJ94" t="str">
            <v>p</v>
          </cell>
          <cell r="AK94" t="str">
            <v>{id:91,title: "exultadjustosenelsenorExultad, justos, en el Señor", subtitle: "Sal 33 (32)", category: "PRECATECUMENADO", moments: ["Pascua"], url: "/cantos/resucito/e/exultadjustosenelsenor.html/cantos/resucito/e/exultadjustosenelsenor.html"},</v>
          </cell>
          <cell r="AL94" t="str">
            <v>EXULTAD, JUSTOS, EN EL SEÑOR</v>
          </cell>
          <cell r="AM94" t="str">
            <v>exultad,justos,enelseñor</v>
          </cell>
          <cell r="AN94" t="str">
            <v>Sal 33 (32)</v>
          </cell>
          <cell r="AP94" t="str">
            <v>CANTO</v>
          </cell>
          <cell r="AQ94" t="str">
            <v>EXULTAD, JUSTOS, EN EL SEÑOR</v>
          </cell>
        </row>
        <row r="95">
          <cell r="A95">
            <v>76</v>
          </cell>
          <cell r="B95" t="str">
            <v>{id:</v>
          </cell>
          <cell r="C95">
            <v>92</v>
          </cell>
          <cell r="D95" t="str">
            <v>,</v>
          </cell>
          <cell r="E95" t="str">
            <v xml:space="preserve">title: </v>
          </cell>
          <cell r="F95" t="str">
            <v>"</v>
          </cell>
          <cell r="G95" t="str">
            <v>felicidadparaelhombre</v>
          </cell>
          <cell r="H95" t="str">
            <v>Felicidad para el hombre</v>
          </cell>
          <cell r="I95" t="str">
            <v>",</v>
          </cell>
          <cell r="J95" t="str">
            <v xml:space="preserve"> subtitle: </v>
          </cell>
          <cell r="K95" t="str">
            <v>"</v>
          </cell>
          <cell r="L95" t="str">
            <v>Sal 128 (127)</v>
          </cell>
          <cell r="M95" t="str">
            <v xml:space="preserve">", </v>
          </cell>
          <cell r="N95" t="str">
            <v xml:space="preserve">category: </v>
          </cell>
          <cell r="O95" t="str">
            <v>"</v>
          </cell>
          <cell r="P95" t="str">
            <v>PRECATECUMENADO</v>
          </cell>
          <cell r="Q95" t="str">
            <v>"</v>
          </cell>
          <cell r="R95" t="str">
            <v>, moments: [</v>
          </cell>
          <cell r="S95" t="str">
            <v>"</v>
          </cell>
          <cell r="T95" t="str">
            <v>Paz</v>
          </cell>
          <cell r="U95" t="str">
            <v>", "</v>
          </cell>
          <cell r="V95" t="str">
            <v>Comunión</v>
          </cell>
          <cell r="W95" t="str">
            <v>", "</v>
          </cell>
          <cell r="X95" t="str">
            <v>Final</v>
          </cell>
          <cell r="Y95" t="str">
            <v>", "</v>
          </cell>
          <cell r="Z95" t="str">
            <v>Antiguo Testamento</v>
          </cell>
          <cell r="AE95" t="str">
            <v>"], url: "</v>
          </cell>
          <cell r="AF95" t="str">
            <v>/cantos/resucito/f/felicidadparaelhombre.html</v>
          </cell>
          <cell r="AG95" t="str">
            <v>/cantos/resucito/f/felicidadparaelhombre.html</v>
          </cell>
          <cell r="AH95" t="str">
            <v>"},</v>
          </cell>
          <cell r="AI95" t="str">
            <v>f</v>
          </cell>
          <cell r="AJ95" t="str">
            <v>p</v>
          </cell>
          <cell r="AK95" t="str">
            <v>{id:92,title: "felicidadparaelhombreFelicidad para el hombre", subtitle: "Sal 128 (127)", category: "PRECATECUMENADO", moments: ["Paz", "Comunión", "Final", "Antiguo Testamento"], url: "/cantos/resucito/f/felicidadparaelhombre.html/cantos/resucito/f/felicidadparaelhombre.html"},</v>
          </cell>
          <cell r="AL95" t="str">
            <v>FELICIDAD PARA EL HOMBRE</v>
          </cell>
          <cell r="AM95" t="str">
            <v>felicidadparaelhombre</v>
          </cell>
          <cell r="AN95" t="str">
            <v>Sal 128 (127)</v>
          </cell>
          <cell r="AP95" t="str">
            <v>CANTO</v>
          </cell>
          <cell r="AQ95" t="str">
            <v>FELICIDAD PARA EL HOMBRE</v>
          </cell>
        </row>
        <row r="96">
          <cell r="A96">
            <v>188</v>
          </cell>
          <cell r="B96" t="str">
            <v>{id:</v>
          </cell>
          <cell r="C96">
            <v>93</v>
          </cell>
          <cell r="D96" t="str">
            <v>,</v>
          </cell>
          <cell r="E96" t="str">
            <v xml:space="preserve">title: </v>
          </cell>
          <cell r="F96" t="str">
            <v>"</v>
          </cell>
          <cell r="G96" t="str">
            <v>gloriaadiosenloaltodelcielo</v>
          </cell>
          <cell r="H96" t="str">
            <v>Gloria a Dios en lo alto del cielo</v>
          </cell>
          <cell r="I96" t="str">
            <v>",</v>
          </cell>
          <cell r="J96" t="str">
            <v xml:space="preserve"> subtitle: </v>
          </cell>
          <cell r="K96" t="str">
            <v>"</v>
          </cell>
          <cell r="L96" t="str">
            <v>Himno Litúrgico</v>
          </cell>
          <cell r="M96" t="str">
            <v xml:space="preserve">", </v>
          </cell>
          <cell r="N96" t="str">
            <v xml:space="preserve">category: </v>
          </cell>
          <cell r="O96" t="str">
            <v>"</v>
          </cell>
          <cell r="P96" t="str">
            <v>LITÚRGICOS</v>
          </cell>
          <cell r="Q96" t="str">
            <v>"</v>
          </cell>
          <cell r="R96" t="str">
            <v>, moments: [</v>
          </cell>
          <cell r="S96" t="str">
            <v>"</v>
          </cell>
          <cell r="T96" t="str">
            <v>Entrada</v>
          </cell>
          <cell r="U96" t="str">
            <v>", "</v>
          </cell>
          <cell r="V96" t="str">
            <v>Antiguo Testamento</v>
          </cell>
          <cell r="AE96" t="str">
            <v>"], url: "</v>
          </cell>
          <cell r="AF96" t="str">
            <v>/cantos/resucito/g/gloriaadiosenloaltodelcielo.html</v>
          </cell>
          <cell r="AG96" t="str">
            <v>/cantos/resucito/g/gloriaadiosenloaltodelcielo.html</v>
          </cell>
          <cell r="AH96" t="str">
            <v>"},</v>
          </cell>
          <cell r="AI96" t="str">
            <v>g</v>
          </cell>
          <cell r="AJ96" t="str">
            <v>l</v>
          </cell>
          <cell r="AK96" t="str">
            <v>{id:93,title: "gloriaadiosenloaltodelcieloGloria a Dios en lo alto del cielo", subtitle: "Himno Litúrgico", category: "LITÚRGICOS", moments: ["Entrada", "Antiguo Testamento"], url: "/cantos/resucito/g/gloriaadiosenloaltodelcielo.html/cantos/resucito/g/gloriaadiosenloaltodelcielo.html"},</v>
          </cell>
          <cell r="AL96" t="str">
            <v>GLORIA A DIOS EN LO ALTO DEL CIELO</v>
          </cell>
          <cell r="AM96" t="str">
            <v>gloriaadiosenloaltodelcielo</v>
          </cell>
          <cell r="AN96" t="str">
            <v>Himno Litúrgico</v>
          </cell>
          <cell r="AP96" t="str">
            <v>CANTO</v>
          </cell>
          <cell r="AQ96" t="str">
            <v>GLORIA A DIOS EN LO ALTO DEL CIELO</v>
          </cell>
        </row>
        <row r="97">
          <cell r="A97">
            <v>77</v>
          </cell>
          <cell r="B97" t="str">
            <v>{id:</v>
          </cell>
          <cell r="C97">
            <v>94</v>
          </cell>
          <cell r="D97" t="str">
            <v>,</v>
          </cell>
          <cell r="E97" t="str">
            <v xml:space="preserve">title: </v>
          </cell>
          <cell r="F97" t="str">
            <v>"</v>
          </cell>
          <cell r="G97" t="str">
            <v>graciasayahveh</v>
          </cell>
          <cell r="H97" t="str">
            <v>Gracias a Yahveh</v>
          </cell>
          <cell r="I97" t="str">
            <v>",</v>
          </cell>
          <cell r="J97" t="str">
            <v xml:space="preserve"> subtitle: </v>
          </cell>
          <cell r="K97" t="str">
            <v>"</v>
          </cell>
          <cell r="L97" t="str">
            <v>Sal 136 (135) - Melodía hebraica</v>
          </cell>
          <cell r="M97" t="str">
            <v xml:space="preserve">", </v>
          </cell>
          <cell r="N97" t="str">
            <v xml:space="preserve">category: </v>
          </cell>
          <cell r="O97" t="str">
            <v>"</v>
          </cell>
          <cell r="P97" t="str">
            <v>PRECATECUMENADO</v>
          </cell>
          <cell r="Q97" t="str">
            <v>"</v>
          </cell>
          <cell r="R97" t="str">
            <v>, moments: [</v>
          </cell>
          <cell r="S97" t="str">
            <v>"</v>
          </cell>
          <cell r="T97" t="str">
            <v>Entrada</v>
          </cell>
          <cell r="AE97" t="str">
            <v>"], url: "</v>
          </cell>
          <cell r="AF97" t="str">
            <v>/cantos/resucito/g/graciasayahveh.html</v>
          </cell>
          <cell r="AG97" t="str">
            <v>/cantos/resucito/g/graciasayahveh.html</v>
          </cell>
          <cell r="AH97" t="str">
            <v>"},</v>
          </cell>
          <cell r="AI97" t="str">
            <v>g</v>
          </cell>
          <cell r="AJ97" t="str">
            <v>p</v>
          </cell>
          <cell r="AK97" t="str">
            <v>{id:94,title: "graciasayahvehGracias a Yahveh", subtitle: "Sal 136 (135) - Melodía hebraica", category: "PRECATECUMENADO", moments: ["Entrada"], url: "/cantos/resucito/g/graciasayahveh.html/cantos/resucito/g/graciasayahveh.html"},</v>
          </cell>
          <cell r="AL97" t="str">
            <v>GRACIAS A YAHVEH</v>
          </cell>
          <cell r="AM97" t="str">
            <v>graciasayahveh</v>
          </cell>
          <cell r="AN97" t="str">
            <v>Sal 136 (135) - Melodía hebraica</v>
          </cell>
          <cell r="AP97" t="str">
            <v>CANTO</v>
          </cell>
          <cell r="AQ97" t="str">
            <v>GRACIAS A YAHVEH</v>
          </cell>
        </row>
        <row r="98">
          <cell r="A98">
            <v>78</v>
          </cell>
          <cell r="B98" t="str">
            <v>{id:</v>
          </cell>
          <cell r="C98">
            <v>95</v>
          </cell>
          <cell r="D98" t="str">
            <v>,</v>
          </cell>
          <cell r="E98" t="str">
            <v xml:space="preserve">title: </v>
          </cell>
          <cell r="F98" t="str">
            <v>"</v>
          </cell>
          <cell r="G98" t="str">
            <v>gritadjubilosos</v>
          </cell>
          <cell r="H98" t="str">
            <v>Gritad jubilosos</v>
          </cell>
          <cell r="I98" t="str">
            <v>",</v>
          </cell>
          <cell r="J98" t="str">
            <v xml:space="preserve"> subtitle: </v>
          </cell>
          <cell r="K98" t="str">
            <v>"</v>
          </cell>
          <cell r="L98" t="str">
            <v>Isaías 12,1ss</v>
          </cell>
          <cell r="M98" t="str">
            <v xml:space="preserve">", </v>
          </cell>
          <cell r="N98" t="str">
            <v xml:space="preserve">category: </v>
          </cell>
          <cell r="O98" t="str">
            <v>"</v>
          </cell>
          <cell r="P98" t="str">
            <v>PRECATECUMENADO</v>
          </cell>
          <cell r="Q98" t="str">
            <v>"</v>
          </cell>
          <cell r="R98" t="str">
            <v>, moments: [</v>
          </cell>
          <cell r="S98" t="str">
            <v>"</v>
          </cell>
          <cell r="T98" t="str">
            <v>Cuaresma</v>
          </cell>
          <cell r="U98" t="str">
            <v>", "</v>
          </cell>
          <cell r="V98" t="str">
            <v>Antiguo Testamento</v>
          </cell>
          <cell r="AE98" t="str">
            <v>"], url: "</v>
          </cell>
          <cell r="AF98" t="str">
            <v>/cantos/resucito/g/gritadjubilosos.html</v>
          </cell>
          <cell r="AG98" t="str">
            <v>/cantos/resucito/g/gritadjubilosos.html</v>
          </cell>
          <cell r="AH98" t="str">
            <v>"},</v>
          </cell>
          <cell r="AI98" t="str">
            <v>g</v>
          </cell>
          <cell r="AJ98" t="str">
            <v>p</v>
          </cell>
          <cell r="AK98" t="str">
            <v>{id:95,title: "gritadjubilososGritad jubilosos", subtitle: "Isaías 12,1ss", category: "PRECATECUMENADO", moments: ["Cuaresma", "Antiguo Testamento"], url: "/cantos/resucito/g/gritadjubilosos.html/cantos/resucito/g/gritadjubilosos.html"},</v>
          </cell>
          <cell r="AL98" t="str">
            <v>GRITAD JUBILOSOS</v>
          </cell>
          <cell r="AM98" t="str">
            <v>gritadjubilosos</v>
          </cell>
          <cell r="AN98" t="str">
            <v>Isaías 12,1ss</v>
          </cell>
          <cell r="AP98" t="str">
            <v>CANTO</v>
          </cell>
          <cell r="AQ98" t="str">
            <v>GRITAD JUBILOSOS</v>
          </cell>
        </row>
        <row r="99">
          <cell r="A99">
            <v>79</v>
          </cell>
          <cell r="B99" t="str">
            <v>{id:</v>
          </cell>
          <cell r="C99">
            <v>96</v>
          </cell>
          <cell r="D99" t="str">
            <v>,</v>
          </cell>
          <cell r="E99" t="str">
            <v xml:space="preserve">title: </v>
          </cell>
          <cell r="F99" t="str">
            <v>"</v>
          </cell>
          <cell r="G99" t="str">
            <v>haciatimoradasanta</v>
          </cell>
          <cell r="H99" t="str">
            <v>Hacia ti, morada santa</v>
          </cell>
          <cell r="I99" t="str">
            <v>",</v>
          </cell>
          <cell r="J99" t="str">
            <v xml:space="preserve"> subtitle: </v>
          </cell>
          <cell r="K99" t="str">
            <v>"</v>
          </cell>
          <cell r="L99" t="str">
            <v>Himno procesional eucarístico (Kiko Argüello)</v>
          </cell>
          <cell r="M99" t="str">
            <v xml:space="preserve">", </v>
          </cell>
          <cell r="N99" t="str">
            <v xml:space="preserve">category: </v>
          </cell>
          <cell r="O99" t="str">
            <v>"</v>
          </cell>
          <cell r="P99" t="str">
            <v>PRECATECUMENADO</v>
          </cell>
          <cell r="Q99" t="str">
            <v>"</v>
          </cell>
          <cell r="R99" t="str">
            <v>, moments: [</v>
          </cell>
          <cell r="S99" t="str">
            <v>"</v>
          </cell>
          <cell r="T99" t="str">
            <v>Fracción del Pan</v>
          </cell>
          <cell r="U99" t="str">
            <v>", "</v>
          </cell>
          <cell r="V99" t="str">
            <v>Antiguo Testamento</v>
          </cell>
          <cell r="AE99" t="str">
            <v>"], url: "</v>
          </cell>
          <cell r="AF99" t="str">
            <v>/cantos/resucito/h/haciatimoradasanta.html</v>
          </cell>
          <cell r="AG99" t="str">
            <v>/cantos/resucito/h/haciatimoradasanta.html</v>
          </cell>
          <cell r="AH99" t="str">
            <v>"},</v>
          </cell>
          <cell r="AI99" t="str">
            <v>h</v>
          </cell>
          <cell r="AJ99" t="str">
            <v>p</v>
          </cell>
          <cell r="AK99" t="str">
            <v>{id:96,title: "haciatimoradasantaHacia ti, morada santa", subtitle: "Himno procesional eucarístico (Kiko Argüello)", category: "PRECATECUMENADO", moments: ["Fracción del Pan", "Antiguo Testamento"], url: "/cantos/resucito/h/haciatimoradasanta.html/cantos/resucito/h/haciatimoradasanta.html"},</v>
          </cell>
          <cell r="AL99" t="str">
            <v>HACIA TI, MORADA SANTA</v>
          </cell>
          <cell r="AM99" t="str">
            <v>haciati,moradasanta</v>
          </cell>
          <cell r="AN99" t="str">
            <v>Himno procesional eucarístico (Kiko Argüello)</v>
          </cell>
          <cell r="AP99" t="str">
            <v>CANTO</v>
          </cell>
          <cell r="AQ99" t="str">
            <v>HACIA TI, MORADA SANTA</v>
          </cell>
        </row>
        <row r="100">
          <cell r="A100">
            <v>80</v>
          </cell>
          <cell r="B100" t="str">
            <v>{id:</v>
          </cell>
          <cell r="C100">
            <v>97</v>
          </cell>
          <cell r="D100" t="str">
            <v>,</v>
          </cell>
          <cell r="E100" t="str">
            <v xml:space="preserve">title: </v>
          </cell>
          <cell r="F100" t="str">
            <v>"</v>
          </cell>
          <cell r="G100" t="str">
            <v>hastacuando</v>
          </cell>
          <cell r="H100" t="str">
            <v>Hasta cuándo</v>
          </cell>
          <cell r="I100" t="str">
            <v>",</v>
          </cell>
          <cell r="J100" t="str">
            <v xml:space="preserve"> subtitle: </v>
          </cell>
          <cell r="K100" t="str">
            <v>"</v>
          </cell>
          <cell r="L100" t="str">
            <v>Sal 13 (12)</v>
          </cell>
          <cell r="M100" t="str">
            <v xml:space="preserve">", </v>
          </cell>
          <cell r="N100" t="str">
            <v xml:space="preserve">category: </v>
          </cell>
          <cell r="O100" t="str">
            <v>"</v>
          </cell>
          <cell r="P100" t="str">
            <v>PRECATECUMENADO</v>
          </cell>
          <cell r="Q100" t="str">
            <v>"</v>
          </cell>
          <cell r="R100" t="str">
            <v>, moments: [</v>
          </cell>
          <cell r="S100" t="str">
            <v>"</v>
          </cell>
          <cell r="T100" t="str">
            <v>Cuaresma</v>
          </cell>
          <cell r="U100" t="str">
            <v>", "</v>
          </cell>
          <cell r="V100" t="str">
            <v>Pascua</v>
          </cell>
          <cell r="W100" t="str">
            <v>", "</v>
          </cell>
          <cell r="X100" t="str">
            <v>Laudes/Visperas</v>
          </cell>
          <cell r="AE100" t="str">
            <v>"], url: "</v>
          </cell>
          <cell r="AF100" t="str">
            <v>/cantos/resucito/h/hastacuando.html</v>
          </cell>
          <cell r="AG100" t="str">
            <v>/cantos/resucito/h/hastacuando.html</v>
          </cell>
          <cell r="AH100" t="str">
            <v>"},</v>
          </cell>
          <cell r="AI100" t="str">
            <v>h</v>
          </cell>
          <cell r="AJ100" t="str">
            <v>p</v>
          </cell>
          <cell r="AK100" t="str">
            <v>{id:97,title: "hastacuandoHasta cuándo", subtitle: "Sal 13 (12)", category: "PRECATECUMENADO", moments: ["Cuaresma", "Pascua", "Laudes/Visperas"], url: "/cantos/resucito/h/hastacuando.html/cantos/resucito/h/hastacuando.html"},</v>
          </cell>
          <cell r="AL100" t="str">
            <v>HASTA CUÁNDO</v>
          </cell>
          <cell r="AM100" t="str">
            <v>hastacuándo</v>
          </cell>
          <cell r="AN100" t="str">
            <v>Sal 13 (12)</v>
          </cell>
          <cell r="AP100" t="str">
            <v>CANTO</v>
          </cell>
          <cell r="AQ100" t="str">
            <v>HASTA CUÁNDO</v>
          </cell>
        </row>
        <row r="101">
          <cell r="A101">
            <v>81</v>
          </cell>
          <cell r="B101" t="str">
            <v>{id:</v>
          </cell>
          <cell r="C101">
            <v>98</v>
          </cell>
          <cell r="D101" t="str">
            <v>,</v>
          </cell>
          <cell r="E101" t="str">
            <v xml:space="preserve">title: </v>
          </cell>
          <cell r="F101" t="str">
            <v>"</v>
          </cell>
          <cell r="G101" t="str">
            <v>heaquimisiervo</v>
          </cell>
          <cell r="H101" t="str">
            <v>He aquí mi siervo</v>
          </cell>
          <cell r="I101" t="str">
            <v>",</v>
          </cell>
          <cell r="J101" t="str">
            <v xml:space="preserve"> subtitle: </v>
          </cell>
          <cell r="K101" t="str">
            <v>"</v>
          </cell>
          <cell r="L101" t="str">
            <v>Isaías 42,1-4; Mateo 12,18-21 - Primer canto de Siervo de Yahveh</v>
          </cell>
          <cell r="M101" t="str">
            <v xml:space="preserve">", </v>
          </cell>
          <cell r="N101" t="str">
            <v xml:space="preserve">category: </v>
          </cell>
          <cell r="O101" t="str">
            <v>"</v>
          </cell>
          <cell r="P101" t="str">
            <v>PRECATECUMENADO</v>
          </cell>
          <cell r="Q101" t="str">
            <v>"</v>
          </cell>
          <cell r="R101" t="str">
            <v>, moments: [</v>
          </cell>
          <cell r="S101" t="str">
            <v>"</v>
          </cell>
          <cell r="T101" t="str">
            <v>Adviento</v>
          </cell>
          <cell r="U101" t="str">
            <v>", "</v>
          </cell>
          <cell r="V101" t="str">
            <v>Nuevo Testamento</v>
          </cell>
          <cell r="AE101" t="str">
            <v>"], url: "</v>
          </cell>
          <cell r="AF101" t="str">
            <v>/cantos/resucito/h/heaquimisiervo.html</v>
          </cell>
          <cell r="AG101" t="str">
            <v>/cantos/resucito/h/heaquimisiervo.html</v>
          </cell>
          <cell r="AH101" t="str">
            <v>"},</v>
          </cell>
          <cell r="AI101" t="str">
            <v>h</v>
          </cell>
          <cell r="AJ101" t="str">
            <v>p</v>
          </cell>
          <cell r="AK101" t="str">
            <v>{id:98,title: "heaquimisiervoHe aquí mi siervo", subtitle: "Isaías 42,1-4; Mateo 12,18-21 - Primer canto de Siervo de Yahveh", category: "PRECATECUMENADO", moments: ["Adviento", "Nuevo Testamento"], url: "/cantos/resucito/h/heaquimisiervo.html/cantos/resucito/h/heaquimisiervo.html"},</v>
          </cell>
          <cell r="AL101" t="str">
            <v>HE AQUÍ MI SIERVO</v>
          </cell>
          <cell r="AM101" t="str">
            <v>heaquímisiervo</v>
          </cell>
          <cell r="AN101" t="str">
            <v>Isaías 42,1-4; Mateo 12,18-21 - Primer canto de Siervo de Yahveh</v>
          </cell>
          <cell r="AP101" t="str">
            <v>CANTO</v>
          </cell>
          <cell r="AQ101" t="str">
            <v>HE AQUÍ MI SIERVO</v>
          </cell>
        </row>
        <row r="102">
          <cell r="A102">
            <v>226</v>
          </cell>
          <cell r="B102" t="str">
            <v>{id:</v>
          </cell>
          <cell r="C102">
            <v>99</v>
          </cell>
          <cell r="D102" t="str">
            <v>,</v>
          </cell>
          <cell r="E102" t="str">
            <v xml:space="preserve">title: </v>
          </cell>
          <cell r="F102" t="str">
            <v>"</v>
          </cell>
          <cell r="G102" t="str">
            <v>heaquiquenuestroespejoeselsenor</v>
          </cell>
          <cell r="H102" t="str">
            <v>He aquí que nuestro espejo es el Señor</v>
          </cell>
          <cell r="I102" t="str">
            <v>",</v>
          </cell>
          <cell r="J102" t="str">
            <v xml:space="preserve"> subtitle: </v>
          </cell>
          <cell r="K102" t="str">
            <v>"</v>
          </cell>
          <cell r="L102" t="str">
            <v>Oda XIII de Salomón</v>
          </cell>
          <cell r="M102" t="str">
            <v xml:space="preserve">", </v>
          </cell>
          <cell r="N102" t="str">
            <v xml:space="preserve">category: </v>
          </cell>
          <cell r="O102" t="str">
            <v>"</v>
          </cell>
          <cell r="P102" t="str">
            <v>CATECUMENADO</v>
          </cell>
          <cell r="Q102" t="str">
            <v>"</v>
          </cell>
          <cell r="R102" t="str">
            <v>, moments: [</v>
          </cell>
          <cell r="S102" t="str">
            <v>"</v>
          </cell>
          <cell r="T102" t="str">
            <v>Adviento</v>
          </cell>
          <cell r="U102" t="str">
            <v>", "</v>
          </cell>
          <cell r="V102" t="str">
            <v>Cuaresma</v>
          </cell>
          <cell r="W102" t="str">
            <v>", "</v>
          </cell>
          <cell r="X102" t="str">
            <v>Antiguo Testamento</v>
          </cell>
          <cell r="AE102" t="str">
            <v>"], url: "</v>
          </cell>
          <cell r="AF102" t="str">
            <v>/cantos/resucito/h/heaquiquenuestroespejoeselsenor.html</v>
          </cell>
          <cell r="AG102" t="str">
            <v>/cantos/resucito/h/heaquiquenuestroespejoeselsenor.html</v>
          </cell>
          <cell r="AH102" t="str">
            <v>"},</v>
          </cell>
          <cell r="AI102" t="str">
            <v>h</v>
          </cell>
          <cell r="AJ102" t="str">
            <v>c</v>
          </cell>
          <cell r="AK102" t="str">
            <v>{id:99,title: "heaquiquenuestroespejoeselsenorHe aquí que nuestro espejo es el Señor", subtitle: "Oda XIII de Salomón", category: "CATECUMENADO", moments: ["Adviento", "Cuaresma", "Antiguo Testamento"], url: "/cantos/resucito/h/heaquiquenuestroespejoeselsenor.html/cantos/resucito/h/heaquiquenuestroespejoeselsenor.html"},</v>
          </cell>
          <cell r="AL102" t="str">
            <v>HE AQUÍ QUE NUESTRO ESPEJO ES EL SEÑOR</v>
          </cell>
          <cell r="AM102" t="str">
            <v>heaquíquenuestroespejoeselseñor</v>
          </cell>
          <cell r="AN102" t="str">
            <v>Oda XIII de Salomón</v>
          </cell>
          <cell r="AP102" t="str">
            <v>CANTO</v>
          </cell>
          <cell r="AQ102" t="str">
            <v>HE AQUÍ QUE NUESTRO ESPEJO ES EL SEÑOR</v>
          </cell>
        </row>
        <row r="103">
          <cell r="A103">
            <v>82</v>
          </cell>
          <cell r="B103" t="str">
            <v>{id:</v>
          </cell>
          <cell r="C103">
            <v>100</v>
          </cell>
          <cell r="D103" t="str">
            <v>,</v>
          </cell>
          <cell r="E103" t="str">
            <v xml:space="preserve">title: </v>
          </cell>
          <cell r="F103" t="str">
            <v>"</v>
          </cell>
          <cell r="G103" t="str">
            <v>heaquiquevengopresto</v>
          </cell>
          <cell r="H103" t="str">
            <v>He aquí que vengo presto</v>
          </cell>
          <cell r="I103" t="str">
            <v>",</v>
          </cell>
          <cell r="J103" t="str">
            <v xml:space="preserve"> subtitle: </v>
          </cell>
          <cell r="K103" t="str">
            <v>"</v>
          </cell>
          <cell r="L103" t="str">
            <v>Apocalipsis 22,12-16</v>
          </cell>
          <cell r="M103" t="str">
            <v xml:space="preserve">", </v>
          </cell>
          <cell r="N103" t="str">
            <v xml:space="preserve">category: </v>
          </cell>
          <cell r="O103" t="str">
            <v>"</v>
          </cell>
          <cell r="P103" t="str">
            <v>PRECATECUMENADO</v>
          </cell>
          <cell r="Q103" t="str">
            <v>"</v>
          </cell>
          <cell r="R103" t="str">
            <v>, moments: [</v>
          </cell>
          <cell r="S103" t="str">
            <v>"</v>
          </cell>
          <cell r="T103" t="str">
            <v>Pascua</v>
          </cell>
          <cell r="U103" t="str">
            <v>", "</v>
          </cell>
          <cell r="V103" t="str">
            <v>Comunión</v>
          </cell>
          <cell r="W103" t="str">
            <v>", "</v>
          </cell>
          <cell r="X103" t="str">
            <v>Antiguo Testamento</v>
          </cell>
          <cell r="AE103" t="str">
            <v>"], url: "</v>
          </cell>
          <cell r="AF103" t="str">
            <v>/cantos/resucito/h/heaquiquevengopresto.html</v>
          </cell>
          <cell r="AG103" t="str">
            <v>/cantos/resucito/h/heaquiquevengopresto.html</v>
          </cell>
          <cell r="AH103" t="str">
            <v>"},</v>
          </cell>
          <cell r="AI103" t="str">
            <v>h</v>
          </cell>
          <cell r="AJ103" t="str">
            <v>p</v>
          </cell>
          <cell r="AK103" t="str">
            <v>{id:100,title: "heaquiquevengoprestoHe aquí que vengo presto", subtitle: "Apocalipsis 22,12-16", category: "PRECATECUMENADO", moments: ["Pascua", "Comunión", "Antiguo Testamento"], url: "/cantos/resucito/h/heaquiquevengopresto.html/cantos/resucito/h/heaquiquevengopresto.html"},</v>
          </cell>
          <cell r="AL103" t="str">
            <v>HE AQUÍ QUE VENGO PRESTO</v>
          </cell>
          <cell r="AM103" t="str">
            <v>heaquíquevengopresto</v>
          </cell>
          <cell r="AN103" t="str">
            <v>Apocalipsis 22,12-16</v>
          </cell>
          <cell r="AP103" t="str">
            <v>CANTO</v>
          </cell>
          <cell r="AQ103" t="str">
            <v>HE AQUÍ QUE VENGO PRESTO</v>
          </cell>
        </row>
        <row r="104">
          <cell r="A104">
            <v>83</v>
          </cell>
          <cell r="B104" t="str">
            <v>{id:</v>
          </cell>
          <cell r="C104">
            <v>101</v>
          </cell>
          <cell r="D104" t="str">
            <v>,</v>
          </cell>
          <cell r="E104" t="str">
            <v xml:space="preserve">title: </v>
          </cell>
          <cell r="F104" t="str">
            <v>"</v>
          </cell>
          <cell r="G104" t="str">
            <v>heesperadoenelsenor</v>
          </cell>
          <cell r="H104" t="str">
            <v>He esperado en el Señor</v>
          </cell>
          <cell r="I104" t="str">
            <v>",</v>
          </cell>
          <cell r="J104" t="str">
            <v xml:space="preserve"> subtitle: </v>
          </cell>
          <cell r="K104" t="str">
            <v>"</v>
          </cell>
          <cell r="L104" t="str">
            <v>Salmo 40 (39)</v>
          </cell>
          <cell r="M104" t="str">
            <v xml:space="preserve">", </v>
          </cell>
          <cell r="N104" t="str">
            <v xml:space="preserve">category: </v>
          </cell>
          <cell r="O104" t="str">
            <v>"</v>
          </cell>
          <cell r="P104" t="str">
            <v>PRECATECUMENADO</v>
          </cell>
          <cell r="Q104" t="str">
            <v>"</v>
          </cell>
          <cell r="R104" t="str">
            <v>, moments: [</v>
          </cell>
          <cell r="S104" t="str">
            <v>"</v>
          </cell>
          <cell r="T104" t="str">
            <v>Cuaresma</v>
          </cell>
          <cell r="U104" t="str">
            <v>", "</v>
          </cell>
          <cell r="V104" t="str">
            <v>Nuevo Testamento</v>
          </cell>
          <cell r="AE104" t="str">
            <v>"], url: "</v>
          </cell>
          <cell r="AF104" t="str">
            <v>/cantos/resucito/h/heesperadoenelsenor.html</v>
          </cell>
          <cell r="AG104" t="str">
            <v>/cantos/resucito/h/heesperadoenelsenor.html</v>
          </cell>
          <cell r="AH104" t="str">
            <v>"},</v>
          </cell>
          <cell r="AI104" t="str">
            <v>h</v>
          </cell>
          <cell r="AJ104" t="str">
            <v>p</v>
          </cell>
          <cell r="AK104" t="str">
            <v>{id:101,title: "heesperadoenelsenorHe esperado en el Señor", subtitle: "Salmo 40 (39)", category: "PRECATECUMENADO", moments: ["Cuaresma", "Nuevo Testamento"], url: "/cantos/resucito/h/heesperadoenelsenor.html/cantos/resucito/h/heesperadoenelsenor.html"},</v>
          </cell>
          <cell r="AL104" t="str">
            <v>HE ESPERADO EN EL SEÑOR</v>
          </cell>
          <cell r="AM104" t="str">
            <v>heesperadoenelseñor</v>
          </cell>
          <cell r="AN104" t="str">
            <v>Salmo 40 (39)</v>
          </cell>
          <cell r="AP104" t="str">
            <v>CANTO</v>
          </cell>
          <cell r="AQ104" t="str">
            <v>HE ESPERADO EN EL SEÑOR</v>
          </cell>
        </row>
        <row r="105">
          <cell r="A105">
            <v>241</v>
          </cell>
          <cell r="B105" t="str">
            <v>{id:</v>
          </cell>
          <cell r="C105">
            <v>102</v>
          </cell>
          <cell r="D105" t="str">
            <v>,</v>
          </cell>
          <cell r="E105" t="str">
            <v xml:space="preserve">title: </v>
          </cell>
          <cell r="F105" t="str">
            <v>"</v>
          </cell>
          <cell r="G105" t="str">
            <v>hermosaeresamigamia</v>
          </cell>
          <cell r="H105" t="str">
            <v>Hermosa eres, amiga mía</v>
          </cell>
          <cell r="I105" t="str">
            <v>",</v>
          </cell>
          <cell r="J105" t="str">
            <v xml:space="preserve"> subtitle: </v>
          </cell>
          <cell r="K105" t="str">
            <v>"</v>
          </cell>
          <cell r="L105" t="str">
            <v>Cantar de los cantares 6-7</v>
          </cell>
          <cell r="M105" t="str">
            <v xml:space="preserve">", </v>
          </cell>
          <cell r="N105" t="str">
            <v xml:space="preserve">category: </v>
          </cell>
          <cell r="O105" t="str">
            <v>"</v>
          </cell>
          <cell r="P105" t="str">
            <v>ELECCIÓN</v>
          </cell>
          <cell r="Q105" t="str">
            <v>"</v>
          </cell>
          <cell r="R105" t="str">
            <v>, moments: [</v>
          </cell>
          <cell r="S105" t="str">
            <v>"</v>
          </cell>
          <cell r="T105" t="str">
            <v>Pascua</v>
          </cell>
          <cell r="AE105" t="str">
            <v>"], url: "</v>
          </cell>
          <cell r="AF105" t="str">
            <v>/cantos/resucito/h/hermosaeresamigamia.html</v>
          </cell>
          <cell r="AG105" t="str">
            <v>/cantos/resucito/h/hermosaeresamigamia.html</v>
          </cell>
          <cell r="AH105" t="str">
            <v>"},</v>
          </cell>
          <cell r="AI105" t="str">
            <v>h</v>
          </cell>
          <cell r="AJ105" t="str">
            <v>e</v>
          </cell>
          <cell r="AK105" t="str">
            <v>{id:102,title: "hermosaeresamigamiaHermosa eres, amiga mía", subtitle: "Cantar de los cantares 6-7", category: "ELECCIÓN", moments: ["Pascua"], url: "/cantos/resucito/h/hermosaeresamigamia.html/cantos/resucito/h/hermosaeresamigamia.html"},</v>
          </cell>
          <cell r="AL105" t="str">
            <v>HERMOSA ERES, AMIGA MÍA</v>
          </cell>
          <cell r="AM105" t="str">
            <v>hermosaeres,amigamía</v>
          </cell>
          <cell r="AN105" t="str">
            <v>Cantar de los cantares 6-7</v>
          </cell>
          <cell r="AP105" t="str">
            <v>CANTO</v>
          </cell>
          <cell r="AQ105" t="str">
            <v>HERMOSA ERES, AMIGA MÍA</v>
          </cell>
        </row>
        <row r="106">
          <cell r="A106">
            <v>84</v>
          </cell>
          <cell r="B106" t="str">
            <v>{id:</v>
          </cell>
          <cell r="C106">
            <v>103</v>
          </cell>
          <cell r="D106" t="str">
            <v>,</v>
          </cell>
          <cell r="E106" t="str">
            <v xml:space="preserve">title: </v>
          </cell>
          <cell r="F106" t="str">
            <v>"</v>
          </cell>
          <cell r="G106" t="str">
            <v>hijasdejerusalen</v>
          </cell>
          <cell r="H106" t="str">
            <v>Hijas de Jerusalén</v>
          </cell>
          <cell r="I106" t="str">
            <v>",</v>
          </cell>
          <cell r="J106" t="str">
            <v xml:space="preserve"> subtitle: </v>
          </cell>
          <cell r="K106" t="str">
            <v>"</v>
          </cell>
          <cell r="L106" t="str">
            <v>Lucas 23,28-46</v>
          </cell>
          <cell r="M106" t="str">
            <v xml:space="preserve">", </v>
          </cell>
          <cell r="N106" t="str">
            <v xml:space="preserve">category: </v>
          </cell>
          <cell r="O106" t="str">
            <v>"</v>
          </cell>
          <cell r="P106" t="str">
            <v>PRECATECUMENADO</v>
          </cell>
          <cell r="Q106" t="str">
            <v>"</v>
          </cell>
          <cell r="R106" t="str">
            <v>, moments: [</v>
          </cell>
          <cell r="S106" t="str">
            <v>"</v>
          </cell>
          <cell r="T106" t="str">
            <v>Pentecostés</v>
          </cell>
          <cell r="U106" t="str">
            <v>", "</v>
          </cell>
          <cell r="V106" t="str">
            <v>Comunión</v>
          </cell>
          <cell r="W106" t="str">
            <v>", "</v>
          </cell>
          <cell r="X106" t="str">
            <v>Nuevo Testamento</v>
          </cell>
          <cell r="AE106" t="str">
            <v>"], url: "</v>
          </cell>
          <cell r="AF106" t="str">
            <v>/cantos/resucito/h/hijasdejerusalen.html</v>
          </cell>
          <cell r="AG106" t="str">
            <v>/cantos/resucito/h/hijasdejerusalen.html</v>
          </cell>
          <cell r="AH106" t="str">
            <v>"},</v>
          </cell>
          <cell r="AI106" t="str">
            <v>h</v>
          </cell>
          <cell r="AJ106" t="str">
            <v>p</v>
          </cell>
          <cell r="AK106" t="str">
            <v>{id:103,title: "hijasdejerusalenHijas de Jerusalén", subtitle: "Lucas 23,28-46", category: "PRECATECUMENADO", moments: ["Pentecostés", "Comunión", "Nuevo Testamento"], url: "/cantos/resucito/h/hijasdejerusalen.html/cantos/resucito/h/hijasdejerusalen.html"},</v>
          </cell>
          <cell r="AL106" t="str">
            <v>HIJAS DE JERUSALÉN</v>
          </cell>
          <cell r="AM106" t="str">
            <v>hijasdejerusalén</v>
          </cell>
          <cell r="AN106" t="str">
            <v>Lucas 23,28-46</v>
          </cell>
          <cell r="AP106" t="str">
            <v>CANTO</v>
          </cell>
          <cell r="AQ106" t="str">
            <v>HIJAS DE JERUSALÉN</v>
          </cell>
        </row>
        <row r="107">
          <cell r="A107">
            <v>85</v>
          </cell>
          <cell r="B107" t="str">
            <v>{id:</v>
          </cell>
          <cell r="C107">
            <v>104</v>
          </cell>
          <cell r="D107" t="str">
            <v>,</v>
          </cell>
          <cell r="E107" t="str">
            <v xml:space="preserve">title: </v>
          </cell>
          <cell r="F107" t="str">
            <v>"</v>
          </cell>
          <cell r="G107" t="str">
            <v>himnoacristoluz</v>
          </cell>
          <cell r="H107" t="str">
            <v>Himno a Cristo luz</v>
          </cell>
          <cell r="I107" t="str">
            <v>",</v>
          </cell>
          <cell r="J107" t="str">
            <v xml:space="preserve"> subtitle: </v>
          </cell>
          <cell r="K107" t="str">
            <v>"</v>
          </cell>
          <cell r="L107" t="str">
            <v>Himno vespertino (San Gregorio Nacianceno)</v>
          </cell>
          <cell r="M107" t="str">
            <v xml:space="preserve">", </v>
          </cell>
          <cell r="N107" t="str">
            <v xml:space="preserve">category: </v>
          </cell>
          <cell r="O107" t="str">
            <v>"</v>
          </cell>
          <cell r="P107" t="str">
            <v>PRECATECUMENADO</v>
          </cell>
          <cell r="Q107" t="str">
            <v>"</v>
          </cell>
          <cell r="R107" t="str">
            <v>, moments: [</v>
          </cell>
          <cell r="S107" t="str">
            <v>"</v>
          </cell>
          <cell r="T107" t="str">
            <v>Laudes/Visperas</v>
          </cell>
          <cell r="U107" t="str">
            <v>", "</v>
          </cell>
          <cell r="V107" t="str">
            <v>Entrada</v>
          </cell>
          <cell r="AE107" t="str">
            <v>"], url: "</v>
          </cell>
          <cell r="AF107" t="str">
            <v>/cantos/resucito/h/himnoacristoluz.html</v>
          </cell>
          <cell r="AG107" t="str">
            <v>/cantos/resucito/h/himnoacristoluz.html</v>
          </cell>
          <cell r="AH107" t="str">
            <v>"},</v>
          </cell>
          <cell r="AI107" t="str">
            <v>h</v>
          </cell>
          <cell r="AJ107" t="str">
            <v>p</v>
          </cell>
          <cell r="AK107" t="str">
            <v>{id:104,title: "himnoacristoluzHimno a Cristo luz", subtitle: "Himno vespertino (San Gregorio Nacianceno)", category: "PRECATECUMENADO", moments: ["Laudes/Visperas", "Entrada"], url: "/cantos/resucito/h/himnoacristoluz.html/cantos/resucito/h/himnoacristoluz.html"},</v>
          </cell>
          <cell r="AL107" t="str">
            <v>HIMNO A CRISTO LUZ</v>
          </cell>
          <cell r="AM107" t="str">
            <v>himnoacristoluz</v>
          </cell>
          <cell r="AN107" t="str">
            <v>Himno vespertino (San Gregorio Nacianceno)</v>
          </cell>
          <cell r="AP107" t="str">
            <v>CANTO</v>
          </cell>
          <cell r="AQ107" t="str">
            <v>HIMNO A CRISTO LUZ</v>
          </cell>
        </row>
        <row r="108">
          <cell r="A108">
            <v>86</v>
          </cell>
          <cell r="B108" t="str">
            <v>{id:</v>
          </cell>
          <cell r="C108">
            <v>105</v>
          </cell>
          <cell r="D108" t="str">
            <v>,</v>
          </cell>
          <cell r="E108" t="str">
            <v xml:space="preserve">title: </v>
          </cell>
          <cell r="F108" t="str">
            <v>"</v>
          </cell>
          <cell r="G108" t="str">
            <v>himnoalacaridad</v>
          </cell>
          <cell r="H108" t="str">
            <v>Himno a la caridad</v>
          </cell>
          <cell r="I108" t="str">
            <v>",</v>
          </cell>
          <cell r="J108" t="str">
            <v xml:space="preserve"> subtitle: </v>
          </cell>
          <cell r="K108" t="str">
            <v>"</v>
          </cell>
          <cell r="L108" t="str">
            <v>1 Corintios 13,1-7</v>
          </cell>
          <cell r="M108" t="str">
            <v xml:space="preserve">", </v>
          </cell>
          <cell r="N108" t="str">
            <v xml:space="preserve">category: </v>
          </cell>
          <cell r="O108" t="str">
            <v>"</v>
          </cell>
          <cell r="P108" t="str">
            <v>PRECATECUMENADO</v>
          </cell>
          <cell r="Q108" t="str">
            <v>"</v>
          </cell>
          <cell r="R108" t="str">
            <v>, moments: [</v>
          </cell>
          <cell r="S108" t="str">
            <v>"</v>
          </cell>
          <cell r="T108" t="str">
            <v>Cuaresma</v>
          </cell>
          <cell r="U108" t="str">
            <v>", "</v>
          </cell>
          <cell r="V108" t="str">
            <v>Fracción del Fracción del Pan</v>
          </cell>
          <cell r="W108" t="str">
            <v>", "</v>
          </cell>
          <cell r="X108" t="str">
            <v>Nuevo Testamento</v>
          </cell>
          <cell r="AE108" t="str">
            <v>"], url: "</v>
          </cell>
          <cell r="AF108" t="str">
            <v>/cantos/resucito/h/himnoalacaridad.html</v>
          </cell>
          <cell r="AG108" t="str">
            <v>/cantos/resucito/h/himnoalacaridad.html</v>
          </cell>
          <cell r="AH108" t="str">
            <v>"},</v>
          </cell>
          <cell r="AI108" t="str">
            <v>h</v>
          </cell>
          <cell r="AJ108" t="str">
            <v>p</v>
          </cell>
          <cell r="AK108" t="str">
            <v>{id:105,title: "himnoalacaridadHimno a la caridad", subtitle: "1 Corintios 13,1-7", category: "PRECATECUMENADO", moments: ["Cuaresma", "Fracción del Fracción del Pan", "Nuevo Testamento"], url: "/cantos/resucito/h/himnoalacaridad.html/cantos/resucito/h/himnoalacaridad.html"},</v>
          </cell>
          <cell r="AL108" t="str">
            <v>HIMNO A LA CARIDAD</v>
          </cell>
          <cell r="AM108" t="str">
            <v>himnoalacaridad</v>
          </cell>
          <cell r="AN108" t="str">
            <v>1 Corintios 13,1-7</v>
          </cell>
          <cell r="AP108" t="str">
            <v>CANTO</v>
          </cell>
          <cell r="AQ108" t="str">
            <v>HIMNO A LA CARIDAD</v>
          </cell>
        </row>
        <row r="109">
          <cell r="A109">
            <v>227</v>
          </cell>
          <cell r="B109" t="str">
            <v>{id:</v>
          </cell>
          <cell r="C109">
            <v>106</v>
          </cell>
          <cell r="D109" t="str">
            <v>,</v>
          </cell>
          <cell r="E109" t="str">
            <v xml:space="preserve">title: </v>
          </cell>
          <cell r="F109" t="str">
            <v>"</v>
          </cell>
          <cell r="G109" t="str">
            <v>himnoalacruzgloriosa</v>
          </cell>
          <cell r="H109" t="str">
            <v>Himno a la cruz gloriosa</v>
          </cell>
          <cell r="I109" t="str">
            <v>",</v>
          </cell>
          <cell r="J109" t="str">
            <v xml:space="preserve"> subtitle: </v>
          </cell>
          <cell r="K109" t="str">
            <v>"</v>
          </cell>
          <cell r="L109" t="str">
            <v>Homilía La Santa Pascua (Anónimo s. II)</v>
          </cell>
          <cell r="M109" t="str">
            <v xml:space="preserve">", </v>
          </cell>
          <cell r="N109" t="str">
            <v xml:space="preserve">category: </v>
          </cell>
          <cell r="O109" t="str">
            <v>"</v>
          </cell>
          <cell r="P109" t="str">
            <v>CATECUMENADO</v>
          </cell>
          <cell r="Q109" t="str">
            <v>"</v>
          </cell>
          <cell r="R109" t="str">
            <v>, moments: [</v>
          </cell>
          <cell r="S109" t="str">
            <v>"</v>
          </cell>
          <cell r="T109" t="str">
            <v>Adviento</v>
          </cell>
          <cell r="AE109" t="str">
            <v>"], url: "</v>
          </cell>
          <cell r="AF109" t="str">
            <v>/cantos/resucito/h/himnoalacruzgloriosa.html</v>
          </cell>
          <cell r="AG109" t="str">
            <v>/cantos/resucito/h/himnoalacruzgloriosa.html</v>
          </cell>
          <cell r="AH109" t="str">
            <v>"},</v>
          </cell>
          <cell r="AI109" t="str">
            <v>h</v>
          </cell>
          <cell r="AJ109" t="str">
            <v>c</v>
          </cell>
          <cell r="AK109" t="str">
            <v>{id:106,title: "himnoalacruzgloriosaHimno a la cruz gloriosa", subtitle: "Homilía La Santa Pascua (Anónimo s. II)", category: "CATECUMENADO", moments: ["Adviento"], url: "/cantos/resucito/h/himnoalacruzgloriosa.html/cantos/resucito/h/himnoalacruzgloriosa.html"},</v>
          </cell>
          <cell r="AL109" t="str">
            <v>HIMNO A LA CRUZ GLORIOSA</v>
          </cell>
          <cell r="AM109" t="str">
            <v>himnoalacruzgloriosa</v>
          </cell>
          <cell r="AN109" t="str">
            <v>Homilía La Santa Pascua (Anónimo s. II)</v>
          </cell>
          <cell r="AP109" t="str">
            <v>CANTO</v>
          </cell>
          <cell r="AQ109" t="str">
            <v>HIMNO A LA CRUZ GLORIOSA</v>
          </cell>
        </row>
        <row r="110">
          <cell r="A110">
            <v>87</v>
          </cell>
          <cell r="B110" t="str">
            <v>{id:</v>
          </cell>
          <cell r="C110">
            <v>107</v>
          </cell>
          <cell r="D110" t="str">
            <v>,</v>
          </cell>
          <cell r="E110" t="str">
            <v xml:space="preserve">title: </v>
          </cell>
          <cell r="F110" t="str">
            <v>"</v>
          </cell>
          <cell r="G110" t="str">
            <v>himnoalakenosis</v>
          </cell>
          <cell r="H110" t="str">
            <v>Himno a la kenosis</v>
          </cell>
          <cell r="I110" t="str">
            <v>",</v>
          </cell>
          <cell r="J110" t="str">
            <v xml:space="preserve"> subtitle: </v>
          </cell>
          <cell r="K110" t="str">
            <v>"</v>
          </cell>
          <cell r="L110" t="str">
            <v>Filipenses 2,1-11</v>
          </cell>
          <cell r="M110" t="str">
            <v xml:space="preserve">", </v>
          </cell>
          <cell r="N110" t="str">
            <v xml:space="preserve">category: </v>
          </cell>
          <cell r="O110" t="str">
            <v>"</v>
          </cell>
          <cell r="P110" t="str">
            <v>PRECATECUMENADO</v>
          </cell>
          <cell r="Q110" t="str">
            <v>"</v>
          </cell>
          <cell r="R110" t="str">
            <v>, moments: [</v>
          </cell>
          <cell r="S110" t="str">
            <v>"</v>
          </cell>
          <cell r="T110" t="str">
            <v>Laudes/Visperas</v>
          </cell>
          <cell r="AE110" t="str">
            <v>"], url: "</v>
          </cell>
          <cell r="AF110" t="str">
            <v>/cantos/resucito/h/himnoalakenosis.html</v>
          </cell>
          <cell r="AG110" t="str">
            <v>/cantos/resucito/h/himnoalakenosis.html</v>
          </cell>
          <cell r="AH110" t="str">
            <v>"},</v>
          </cell>
          <cell r="AI110" t="str">
            <v>h</v>
          </cell>
          <cell r="AJ110" t="str">
            <v>p</v>
          </cell>
          <cell r="AK110" t="str">
            <v>{id:107,title: "himnoalakenosisHimno a la kenosis", subtitle: "Filipenses 2,1-11", category: "PRECATECUMENADO", moments: ["Laudes/Visperas"], url: "/cantos/resucito/h/himnoalakenosis.html/cantos/resucito/h/himnoalakenosis.html"},</v>
          </cell>
          <cell r="AL110" t="str">
            <v>HIMNO A LA KENOSIS</v>
          </cell>
          <cell r="AM110" t="str">
            <v>himnoalakenosis</v>
          </cell>
          <cell r="AN110" t="str">
            <v>Filipenses 2,1-11</v>
          </cell>
          <cell r="AP110" t="str">
            <v>CANTO</v>
          </cell>
          <cell r="AQ110" t="str">
            <v>HIMNO A LA KENOSIS</v>
          </cell>
        </row>
        <row r="111">
          <cell r="A111">
            <v>88</v>
          </cell>
          <cell r="B111" t="str">
            <v>{id:</v>
          </cell>
          <cell r="C111">
            <v>108</v>
          </cell>
          <cell r="D111" t="str">
            <v>,</v>
          </cell>
          <cell r="E111" t="str">
            <v xml:space="preserve">title: </v>
          </cell>
          <cell r="F111" t="str">
            <v>"</v>
          </cell>
          <cell r="G111" t="str">
            <v>himnodeadviento</v>
          </cell>
          <cell r="H111" t="str">
            <v>Himno de Adviento</v>
          </cell>
          <cell r="I111" t="str">
            <v>",</v>
          </cell>
          <cell r="J111" t="str">
            <v xml:space="preserve"> subtitle: </v>
          </cell>
          <cell r="K111" t="str">
            <v>"</v>
          </cell>
          <cell r="L111" t="str">
            <v>Himno lat. «Vox clara ecce Intonat»</v>
          </cell>
          <cell r="M111" t="str">
            <v xml:space="preserve">", </v>
          </cell>
          <cell r="N111" t="str">
            <v xml:space="preserve">category: </v>
          </cell>
          <cell r="O111" t="str">
            <v>"</v>
          </cell>
          <cell r="P111" t="str">
            <v>PRECATECUMENADO</v>
          </cell>
          <cell r="Q111" t="str">
            <v>"</v>
          </cell>
          <cell r="R111" t="str">
            <v>, moments: [</v>
          </cell>
          <cell r="S111" t="str">
            <v>"</v>
          </cell>
          <cell r="T111" t="str">
            <v>Pascua</v>
          </cell>
          <cell r="U111" t="str">
            <v>", "</v>
          </cell>
          <cell r="V111" t="str">
            <v>Laudes/Visperas</v>
          </cell>
          <cell r="AE111" t="str">
            <v>"], url: "</v>
          </cell>
          <cell r="AF111" t="str">
            <v>/cantos/resucito/h/himnodeadviento.html</v>
          </cell>
          <cell r="AG111" t="str">
            <v>/cantos/resucito/h/himnodeadviento.html</v>
          </cell>
          <cell r="AH111" t="str">
            <v>"},</v>
          </cell>
          <cell r="AI111" t="str">
            <v>h</v>
          </cell>
          <cell r="AJ111" t="str">
            <v>p</v>
          </cell>
          <cell r="AK111" t="str">
            <v>{id:108,title: "himnodeadvientoHimno de Adviento", subtitle: "Himno lat. «Vox clara ecce Intonat»", category: "PRECATECUMENADO", moments: ["Pascua", "Laudes/Visperas"], url: "/cantos/resucito/h/himnodeadviento.html/cantos/resucito/h/himnodeadviento.html"},</v>
          </cell>
          <cell r="AL111" t="str">
            <v>HIMNO DE ADVIENTO</v>
          </cell>
          <cell r="AM111" t="str">
            <v>himnodeadviento</v>
          </cell>
          <cell r="AN111" t="str">
            <v>Himno lat. «Vox clara ecce Intonat»</v>
          </cell>
          <cell r="AP111" t="str">
            <v>CANTO</v>
          </cell>
          <cell r="AQ111" t="str">
            <v>HIMNO DE ADVIENTO</v>
          </cell>
        </row>
        <row r="112">
          <cell r="A112">
            <v>89</v>
          </cell>
          <cell r="B112" t="str">
            <v>{id:</v>
          </cell>
          <cell r="C112">
            <v>109</v>
          </cell>
          <cell r="D112" t="str">
            <v>,</v>
          </cell>
          <cell r="E112" t="str">
            <v xml:space="preserve">title: </v>
          </cell>
          <cell r="F112" t="str">
            <v>"</v>
          </cell>
          <cell r="G112" t="str">
            <v>himnodelaascension</v>
          </cell>
          <cell r="H112" t="str">
            <v>Himno de la Ascensión</v>
          </cell>
          <cell r="I112" t="str">
            <v>",</v>
          </cell>
          <cell r="J112" t="str">
            <v xml:space="preserve"> subtitle: </v>
          </cell>
          <cell r="K112" t="str">
            <v>"</v>
          </cell>
          <cell r="L112" t="str">
            <v xml:space="preserve">Himno de Laudes del tiempo Pascual, de la Ascensión a Pentecostés  / Himno de la liturgia de las horas </v>
          </cell>
          <cell r="M112" t="str">
            <v xml:space="preserve">", </v>
          </cell>
          <cell r="N112" t="str">
            <v xml:space="preserve">category: </v>
          </cell>
          <cell r="O112" t="str">
            <v>"</v>
          </cell>
          <cell r="P112" t="str">
            <v>PRECATECUMENADO</v>
          </cell>
          <cell r="Q112" t="str">
            <v>"</v>
          </cell>
          <cell r="R112" t="str">
            <v>, moments: [</v>
          </cell>
          <cell r="S112" t="str">
            <v>"</v>
          </cell>
          <cell r="T112" t="str">
            <v>Pascua</v>
          </cell>
          <cell r="U112" t="str">
            <v>", "</v>
          </cell>
          <cell r="V112" t="str">
            <v>Comunión</v>
          </cell>
          <cell r="W112" t="str">
            <v>", "</v>
          </cell>
          <cell r="X112" t="str">
            <v>Final</v>
          </cell>
          <cell r="Y112" t="str">
            <v>", "</v>
          </cell>
          <cell r="Z112" t="str">
            <v>Antiguo Testamento</v>
          </cell>
          <cell r="AE112" t="str">
            <v>"], url: "</v>
          </cell>
          <cell r="AF112" t="str">
            <v>/cantos/resucito/h/himnodelaascension.html</v>
          </cell>
          <cell r="AG112" t="str">
            <v>/cantos/resucito/h/himnodelaascension.html</v>
          </cell>
          <cell r="AH112" t="str">
            <v>"},</v>
          </cell>
          <cell r="AI112" t="str">
            <v>h</v>
          </cell>
          <cell r="AJ112" t="str">
            <v>p</v>
          </cell>
          <cell r="AK112" t="str">
            <v>{id:109,title: "himnodelaascensionHimno de la Ascensión", subtitle: "Himno de Laudes del tiempo Pascual, de la Ascensión a Pentecostés  / Himno de la liturgia de las horas ", category: "PRECATECUMENADO", moments: ["Pascua", "Comunión", "Final", "Antiguo Testamento"], url: "/cantos/resucito/h/himnodelaascension.html/cantos/resucito/h/himnodelaascension.html"},</v>
          </cell>
          <cell r="AL112" t="str">
            <v>HIMNO DE LA ASCENSIÓN</v>
          </cell>
          <cell r="AM112" t="str">
            <v>himnodelaascensión</v>
          </cell>
          <cell r="AN112" t="str">
            <v xml:space="preserve">Himno de Laudes del tiempo Pascual, de la Ascensión a Pentecostés  / Himno de la liturgia de las horas </v>
          </cell>
          <cell r="AP112" t="str">
            <v>CANTO</v>
          </cell>
          <cell r="AQ112" t="str">
            <v>HIMNO DE LA ASCENSIÓN</v>
          </cell>
        </row>
        <row r="113">
          <cell r="A113">
            <v>90</v>
          </cell>
          <cell r="B113" t="str">
            <v>{id:</v>
          </cell>
          <cell r="C113">
            <v>110</v>
          </cell>
          <cell r="D113" t="str">
            <v>,</v>
          </cell>
          <cell r="E113" t="str">
            <v xml:space="preserve">title: </v>
          </cell>
          <cell r="F113" t="str">
            <v>"</v>
          </cell>
          <cell r="G113" t="str">
            <v>himnodepascua</v>
          </cell>
          <cell r="H113" t="str">
            <v>Himno de Pascua</v>
          </cell>
          <cell r="I113" t="str">
            <v>",</v>
          </cell>
          <cell r="J113" t="str">
            <v xml:space="preserve"> subtitle: </v>
          </cell>
          <cell r="K113" t="str">
            <v>"</v>
          </cell>
          <cell r="L113" t="str">
            <v>Himno lat. «Aurora lucis rutiiat»</v>
          </cell>
          <cell r="M113" t="str">
            <v xml:space="preserve">", </v>
          </cell>
          <cell r="N113" t="str">
            <v xml:space="preserve">category: </v>
          </cell>
          <cell r="O113" t="str">
            <v>"</v>
          </cell>
          <cell r="P113" t="str">
            <v>PRECATECUMENADO</v>
          </cell>
          <cell r="Q113" t="str">
            <v>"</v>
          </cell>
          <cell r="R113" t="str">
            <v>, moments: [</v>
          </cell>
          <cell r="S113" t="str">
            <v>"</v>
          </cell>
          <cell r="T113" t="str">
            <v>Final</v>
          </cell>
          <cell r="U113" t="str">
            <v>", "</v>
          </cell>
          <cell r="V113" t="str">
            <v>Nuevo Testamento</v>
          </cell>
          <cell r="AE113" t="str">
            <v>"], url: "</v>
          </cell>
          <cell r="AF113" t="str">
            <v>/cantos/resucito/h/himnodepascua.html</v>
          </cell>
          <cell r="AG113" t="str">
            <v>/cantos/resucito/h/himnodepascua.html</v>
          </cell>
          <cell r="AH113" t="str">
            <v>"},</v>
          </cell>
          <cell r="AI113" t="str">
            <v>h</v>
          </cell>
          <cell r="AJ113" t="str">
            <v>p</v>
          </cell>
          <cell r="AK113" t="str">
            <v>{id:110,title: "himnodepascuaHimno de Pascua", subtitle: "Himno lat. «Aurora lucis rutiiat»", category: "PRECATECUMENADO", moments: ["Final", "Nuevo Testamento"], url: "/cantos/resucito/h/himnodepascua.html/cantos/resucito/h/himnodepascua.html"},</v>
          </cell>
          <cell r="AL113" t="str">
            <v>HIMNO DE PASCUA</v>
          </cell>
          <cell r="AM113" t="str">
            <v>himnodepascua</v>
          </cell>
          <cell r="AN113" t="str">
            <v>Himno lat. «Aurora lucis rutiiat»</v>
          </cell>
          <cell r="AP113" t="str">
            <v>CANTO</v>
          </cell>
          <cell r="AQ113" t="str">
            <v>HIMNO DE PASCUA</v>
          </cell>
        </row>
        <row r="114">
          <cell r="A114">
            <v>91</v>
          </cell>
          <cell r="B114" t="str">
            <v>{id:</v>
          </cell>
          <cell r="C114">
            <v>111</v>
          </cell>
          <cell r="D114" t="str">
            <v>,</v>
          </cell>
          <cell r="E114" t="str">
            <v xml:space="preserve">title: </v>
          </cell>
          <cell r="F114" t="str">
            <v>"</v>
          </cell>
          <cell r="G114" t="str">
            <v>huyeamadomio</v>
          </cell>
          <cell r="H114" t="str">
            <v>Huye, amado mío</v>
          </cell>
          <cell r="I114" t="str">
            <v>",</v>
          </cell>
          <cell r="J114" t="str">
            <v xml:space="preserve"> subtitle: </v>
          </cell>
          <cell r="K114" t="str">
            <v>"</v>
          </cell>
          <cell r="L114" t="str">
            <v>Cantar de los Cantares 8,10-14</v>
          </cell>
          <cell r="M114" t="str">
            <v xml:space="preserve">", </v>
          </cell>
          <cell r="N114" t="str">
            <v xml:space="preserve">category: </v>
          </cell>
          <cell r="O114" t="str">
            <v>"</v>
          </cell>
          <cell r="P114" t="str">
            <v>PRECATECUMENADO</v>
          </cell>
          <cell r="Q114" t="str">
            <v>"</v>
          </cell>
          <cell r="R114" t="str">
            <v>, moments: [</v>
          </cell>
          <cell r="S114" t="str">
            <v>"</v>
          </cell>
          <cell r="T114" t="str">
            <v>Cuaresma</v>
          </cell>
          <cell r="AE114" t="str">
            <v>"], url: "</v>
          </cell>
          <cell r="AF114" t="str">
            <v>/cantos/resucito/h/huyeamadomio.html</v>
          </cell>
          <cell r="AG114" t="str">
            <v>/cantos/resucito/h/huyeamadomio.html</v>
          </cell>
          <cell r="AH114" t="str">
            <v>"},</v>
          </cell>
          <cell r="AI114" t="str">
            <v>h</v>
          </cell>
          <cell r="AJ114" t="str">
            <v>p</v>
          </cell>
          <cell r="AK114" t="str">
            <v>{id:111,title: "huyeamadomioHuye, amado mío", subtitle: "Cantar de los Cantares 8,10-14", category: "PRECATECUMENADO", moments: ["Cuaresma"], url: "/cantos/resucito/h/huyeamadomio.html/cantos/resucito/h/huyeamadomio.html"},</v>
          </cell>
          <cell r="AL114" t="str">
            <v>HUYE, AMADO MÍO</v>
          </cell>
          <cell r="AM114" t="str">
            <v>huye,amadomío</v>
          </cell>
          <cell r="AN114" t="str">
            <v>Cantar de los Cantares 8,10-14</v>
          </cell>
          <cell r="AP114" t="str">
            <v>CANTO</v>
          </cell>
          <cell r="AQ114" t="str">
            <v>HUYE, AMADO MÍO</v>
          </cell>
        </row>
        <row r="115">
          <cell r="A115">
            <v>92</v>
          </cell>
          <cell r="B115" t="str">
            <v>{id:</v>
          </cell>
          <cell r="C115">
            <v>112</v>
          </cell>
          <cell r="D115" t="str">
            <v>,</v>
          </cell>
          <cell r="E115" t="str">
            <v xml:space="preserve">title: </v>
          </cell>
          <cell r="F115" t="str">
            <v>"</v>
          </cell>
          <cell r="G115" t="str">
            <v>idyanunciadamishermanos</v>
          </cell>
          <cell r="H115" t="str">
            <v>Id y anunciad a mis hermanos</v>
          </cell>
          <cell r="I115" t="str">
            <v>",</v>
          </cell>
          <cell r="J115" t="str">
            <v xml:space="preserve"> subtitle: </v>
          </cell>
          <cell r="K115" t="str">
            <v>"</v>
          </cell>
          <cell r="L115" t="str">
            <v>Mateo 28,10.16-20</v>
          </cell>
          <cell r="M115" t="str">
            <v xml:space="preserve">", </v>
          </cell>
          <cell r="N115" t="str">
            <v xml:space="preserve">category: </v>
          </cell>
          <cell r="O115" t="str">
            <v>"</v>
          </cell>
          <cell r="P115" t="str">
            <v>PRECATECUMENADO</v>
          </cell>
          <cell r="Q115" t="str">
            <v>"</v>
          </cell>
          <cell r="R115" t="str">
            <v>, moments: [</v>
          </cell>
          <cell r="S115" t="str">
            <v>"</v>
          </cell>
          <cell r="T115" t="str">
            <v>Antiguo Testamento</v>
          </cell>
          <cell r="AE115" t="str">
            <v>"], url: "</v>
          </cell>
          <cell r="AF115" t="str">
            <v>/cantos/resucito/i/idyanunciadamishermanos.html</v>
          </cell>
          <cell r="AG115" t="str">
            <v>/cantos/resucito/i/idyanunciadamishermanos.html</v>
          </cell>
          <cell r="AH115" t="str">
            <v>"},</v>
          </cell>
          <cell r="AI115" t="str">
            <v>i</v>
          </cell>
          <cell r="AJ115" t="str">
            <v>p</v>
          </cell>
          <cell r="AK115" t="str">
            <v>{id:112,title: "idyanunciadamishermanosId y anunciad a mis hermanos", subtitle: "Mateo 28,10.16-20", category: "PRECATECUMENADO", moments: ["Antiguo Testamento"], url: "/cantos/resucito/i/idyanunciadamishermanos.html/cantos/resucito/i/idyanunciadamishermanos.html"},</v>
          </cell>
          <cell r="AL115" t="str">
            <v>ID Y ANUNCIAD A MIS HERMANOS</v>
          </cell>
          <cell r="AM115" t="str">
            <v>idyanunciadamishermanos</v>
          </cell>
          <cell r="AN115" t="str">
            <v>Mateo 28,10.16-20</v>
          </cell>
          <cell r="AP115" t="str">
            <v>CANTO</v>
          </cell>
          <cell r="AQ115" t="str">
            <v>ID Y ANUNCIAD A MIS HERMANOS</v>
          </cell>
        </row>
        <row r="116">
          <cell r="A116">
            <v>93</v>
          </cell>
          <cell r="B116" t="str">
            <v>{id:</v>
          </cell>
          <cell r="C116">
            <v>113</v>
          </cell>
          <cell r="D116" t="str">
            <v>,</v>
          </cell>
          <cell r="E116" t="str">
            <v xml:space="preserve">title: </v>
          </cell>
          <cell r="F116" t="str">
            <v>"</v>
          </cell>
          <cell r="G116" t="str">
            <v>improperios</v>
          </cell>
          <cell r="H116" t="str">
            <v>Improperios</v>
          </cell>
          <cell r="I116" t="str">
            <v>",</v>
          </cell>
          <cell r="J116" t="str">
            <v xml:space="preserve"> subtitle: </v>
          </cell>
          <cell r="K116" t="str">
            <v>"</v>
          </cell>
          <cell r="L116" t="str">
            <v>Adoración de la santa Cruz el Viernes santo</v>
          </cell>
          <cell r="M116" t="str">
            <v xml:space="preserve">", </v>
          </cell>
          <cell r="N116" t="str">
            <v xml:space="preserve">category: </v>
          </cell>
          <cell r="O116" t="str">
            <v>"</v>
          </cell>
          <cell r="P116" t="str">
            <v>PRECATECUMENADO</v>
          </cell>
          <cell r="Q116" t="str">
            <v>"</v>
          </cell>
          <cell r="R116" t="str">
            <v>, moments: [</v>
          </cell>
          <cell r="S116" t="str">
            <v>"</v>
          </cell>
          <cell r="T116" t="str">
            <v>Cuaresma</v>
          </cell>
          <cell r="U116" t="str">
            <v>", "</v>
          </cell>
          <cell r="V116" t="str">
            <v>Paz</v>
          </cell>
          <cell r="W116" t="str">
            <v>", "</v>
          </cell>
          <cell r="X116" t="str">
            <v>Antiguo Testamento</v>
          </cell>
          <cell r="AE116" t="str">
            <v>"], url: "</v>
          </cell>
          <cell r="AF116" t="str">
            <v>/cantos/resucito/i/improperios.html</v>
          </cell>
          <cell r="AG116" t="str">
            <v>/cantos/resucito/i/improperios.html</v>
          </cell>
          <cell r="AH116" t="str">
            <v>"},</v>
          </cell>
          <cell r="AI116" t="str">
            <v>i</v>
          </cell>
          <cell r="AJ116" t="str">
            <v>p</v>
          </cell>
          <cell r="AK116" t="str">
            <v>{id:113,title: "improperiosImproperios", subtitle: "Adoración de la santa Cruz el Viernes santo", category: "PRECATECUMENADO", moments: ["Cuaresma", "Paz", "Antiguo Testamento"], url: "/cantos/resucito/i/improperios.html/cantos/resucito/i/improperios.html"},</v>
          </cell>
          <cell r="AL116" t="str">
            <v>IMPROPERIOS</v>
          </cell>
          <cell r="AM116" t="str">
            <v>improperios</v>
          </cell>
          <cell r="AN116" t="str">
            <v>Adoración de la santa Cruz el Viernes santo</v>
          </cell>
          <cell r="AP116" t="str">
            <v>CANTO</v>
          </cell>
          <cell r="AQ116" t="str">
            <v>IMPROPERIOS</v>
          </cell>
        </row>
        <row r="117">
          <cell r="A117">
            <v>228</v>
          </cell>
          <cell r="B117" t="str">
            <v>{id:</v>
          </cell>
          <cell r="C117">
            <v>114</v>
          </cell>
          <cell r="D117" t="str">
            <v>,</v>
          </cell>
          <cell r="E117" t="str">
            <v xml:space="preserve">title: </v>
          </cell>
          <cell r="F117" t="str">
            <v>"</v>
          </cell>
          <cell r="G117" t="str">
            <v>jacob</v>
          </cell>
          <cell r="H117" t="str">
            <v>Jacob</v>
          </cell>
          <cell r="I117" t="str">
            <v>",</v>
          </cell>
          <cell r="J117" t="str">
            <v xml:space="preserve"> subtitle: </v>
          </cell>
          <cell r="K117" t="str">
            <v>"</v>
          </cell>
          <cell r="L117" t="str">
            <v xml:space="preserve">Genesis 32,23-29 </v>
          </cell>
          <cell r="M117" t="str">
            <v xml:space="preserve">", </v>
          </cell>
          <cell r="N117" t="str">
            <v xml:space="preserve">category: </v>
          </cell>
          <cell r="O117" t="str">
            <v>"</v>
          </cell>
          <cell r="P117" t="str">
            <v>CATECUMENADO</v>
          </cell>
          <cell r="Q117" t="str">
            <v>"</v>
          </cell>
          <cell r="R117" t="str">
            <v>, moments: [</v>
          </cell>
          <cell r="S117" t="str">
            <v>"</v>
          </cell>
          <cell r="T117" t="str">
            <v>Nuevo Testamento</v>
          </cell>
          <cell r="AE117" t="str">
            <v>"], url: "</v>
          </cell>
          <cell r="AF117" t="str">
            <v>/cantos/resucito/CATECUMENADO/jacob.html</v>
          </cell>
          <cell r="AG117" t="str">
            <v>/cantos/resucito/j/jacob.html</v>
          </cell>
          <cell r="AH117" t="str">
            <v>"},</v>
          </cell>
          <cell r="AI117" t="str">
            <v>j</v>
          </cell>
          <cell r="AJ117" t="str">
            <v>c</v>
          </cell>
          <cell r="AK117" t="str">
            <v>{id:114,title: "jacobJacob", subtitle: "Genesis 32,23-29 ", category: "CATECUMENADO", moments: ["Nuevo Testamento"], url: "/cantos/resucito/CATECUMENADO/jacob.html/cantos/resucito/j/jacob.html"},</v>
          </cell>
          <cell r="AL117" t="str">
            <v>JACOB</v>
          </cell>
          <cell r="AM117" t="str">
            <v>jacob</v>
          </cell>
          <cell r="AN117" t="str">
            <v xml:space="preserve">Genesis 32,23-29 </v>
          </cell>
          <cell r="AP117" t="str">
            <v>CANTO</v>
          </cell>
          <cell r="AQ117" t="str">
            <v>JACOB</v>
          </cell>
        </row>
        <row r="118">
          <cell r="A118">
            <v>94</v>
          </cell>
          <cell r="B118" t="str">
            <v>{id:</v>
          </cell>
          <cell r="C118">
            <v>115</v>
          </cell>
          <cell r="D118" t="str">
            <v>,</v>
          </cell>
          <cell r="E118" t="str">
            <v xml:space="preserve">title: </v>
          </cell>
          <cell r="F118" t="str">
            <v>"</v>
          </cell>
          <cell r="G118" t="str">
            <v>jerusalenreconstruida</v>
          </cell>
          <cell r="H118" t="str">
            <v>Jerusalén reconstruida</v>
          </cell>
          <cell r="I118" t="str">
            <v>",</v>
          </cell>
          <cell r="J118" t="str">
            <v xml:space="preserve"> subtitle: </v>
          </cell>
          <cell r="K118" t="str">
            <v>"</v>
          </cell>
          <cell r="L118" t="str">
            <v>Tobias 13,11-17</v>
          </cell>
          <cell r="M118" t="str">
            <v xml:space="preserve">", </v>
          </cell>
          <cell r="N118" t="str">
            <v xml:space="preserve">category: </v>
          </cell>
          <cell r="O118" t="str">
            <v>"</v>
          </cell>
          <cell r="P118" t="str">
            <v>PRECATECUMENADO</v>
          </cell>
          <cell r="Q118" t="str">
            <v>"</v>
          </cell>
          <cell r="R118" t="str">
            <v>, moments: [</v>
          </cell>
          <cell r="S118" t="str">
            <v>"</v>
          </cell>
          <cell r="T118" t="str">
            <v>Navidad</v>
          </cell>
          <cell r="U118" t="str">
            <v>", "</v>
          </cell>
          <cell r="V118" t="str">
            <v>Virgen</v>
          </cell>
          <cell r="W118" t="str">
            <v>", "</v>
          </cell>
          <cell r="X118" t="str">
            <v>Nuevo Testamento</v>
          </cell>
          <cell r="AE118" t="str">
            <v>"], url: "</v>
          </cell>
          <cell r="AF118" t="str">
            <v>/cantos/resucito/j/jerusalenreconstruida.html</v>
          </cell>
          <cell r="AG118" t="str">
            <v>/cantos/resucito/j/jerusalenreconstruida.html</v>
          </cell>
          <cell r="AH118" t="str">
            <v>"},</v>
          </cell>
          <cell r="AI118" t="str">
            <v>j</v>
          </cell>
          <cell r="AJ118" t="str">
            <v>p</v>
          </cell>
          <cell r="AK118" t="str">
            <v>{id:115,title: "jerusalenreconstruidaJerusalén reconstruida", subtitle: "Tobias 13,11-17", category: "PRECATECUMENADO", moments: ["Navidad", "Virgen", "Nuevo Testamento"], url: "/cantos/resucito/j/jerusalenreconstruida.html/cantos/resucito/j/jerusalenreconstruida.html"},</v>
          </cell>
          <cell r="AL118" t="str">
            <v>JERUSALÉN RECONSTRUIDA</v>
          </cell>
          <cell r="AM118" t="str">
            <v>jerusalénreconstruida</v>
          </cell>
          <cell r="AN118" t="str">
            <v>Tobias 13,11-17</v>
          </cell>
          <cell r="AP118" t="str">
            <v>CANTO</v>
          </cell>
          <cell r="AQ118" t="str">
            <v>JERUSALÉN RECONSTRUIDA</v>
          </cell>
        </row>
        <row r="119">
          <cell r="A119">
            <v>95</v>
          </cell>
          <cell r="B119" t="str">
            <v>{id:</v>
          </cell>
          <cell r="C119">
            <v>116</v>
          </cell>
          <cell r="D119" t="str">
            <v>,</v>
          </cell>
          <cell r="E119" t="str">
            <v xml:space="preserve">title: </v>
          </cell>
          <cell r="F119" t="str">
            <v>"</v>
          </cell>
          <cell r="G119" t="str">
            <v>jesusrecorriatodaslasciudades</v>
          </cell>
          <cell r="H119" t="str">
            <v>Jesús recorría todas las ciudades</v>
          </cell>
          <cell r="I119" t="str">
            <v>",</v>
          </cell>
          <cell r="J119" t="str">
            <v xml:space="preserve"> subtitle: </v>
          </cell>
          <cell r="K119" t="str">
            <v>"</v>
          </cell>
          <cell r="L119" t="str">
            <v xml:space="preserve">Mateo 9,35ss; 10 </v>
          </cell>
          <cell r="M119" t="str">
            <v xml:space="preserve">", </v>
          </cell>
          <cell r="N119" t="str">
            <v xml:space="preserve">category: </v>
          </cell>
          <cell r="O119" t="str">
            <v>"</v>
          </cell>
          <cell r="P119" t="str">
            <v>PRECATECUMENADO</v>
          </cell>
          <cell r="Q119" t="str">
            <v>"</v>
          </cell>
          <cell r="R119" t="str">
            <v>, moments: [</v>
          </cell>
          <cell r="S119" t="str">
            <v>"</v>
          </cell>
          <cell r="T119" t="str">
            <v>Cuaresma</v>
          </cell>
          <cell r="AE119" t="str">
            <v>"], url: "</v>
          </cell>
          <cell r="AF119" t="str">
            <v>/cantos/resucito/j/jesusrecorriatodaslasciudades.html</v>
          </cell>
          <cell r="AG119" t="str">
            <v>/cantos/resucito/j/jesusrecorriatodaslasciudades.html</v>
          </cell>
          <cell r="AH119" t="str">
            <v>"},</v>
          </cell>
          <cell r="AI119" t="str">
            <v>j</v>
          </cell>
          <cell r="AJ119" t="str">
            <v>p</v>
          </cell>
          <cell r="AK119" t="str">
            <v>{id:116,title: "jesusrecorriatodaslasciudadesJesús recorría todas las ciudades", subtitle: "Mateo 9,35ss; 10 ", category: "PRECATECUMENADO", moments: ["Cuaresma"], url: "/cantos/resucito/j/jesusrecorriatodaslasciudades.html/cantos/resucito/j/jesusrecorriatodaslasciudades.html"},</v>
          </cell>
          <cell r="AL119" t="str">
            <v>JESÚS RECORRÍA TODAS LAS CIUDADES</v>
          </cell>
          <cell r="AM119" t="str">
            <v>jesúsrecorríatodaslasciudades</v>
          </cell>
          <cell r="AN119" t="str">
            <v xml:space="preserve">Mateo 9,35ss; 10 </v>
          </cell>
          <cell r="AP119" t="str">
            <v>CANTO</v>
          </cell>
          <cell r="AQ119" t="str">
            <v>JESÚS RECORRÍA TODAS LAS CIUDADES</v>
          </cell>
        </row>
        <row r="120">
          <cell r="A120">
            <v>96</v>
          </cell>
          <cell r="B120" t="str">
            <v>{id:</v>
          </cell>
          <cell r="C120">
            <v>117</v>
          </cell>
          <cell r="D120" t="str">
            <v>,</v>
          </cell>
          <cell r="E120" t="str">
            <v xml:space="preserve">title: </v>
          </cell>
          <cell r="F120" t="str">
            <v>"</v>
          </cell>
          <cell r="G120" t="str">
            <v>lacorderadedios</v>
          </cell>
          <cell r="H120" t="str">
            <v>La cordera de Dios</v>
          </cell>
          <cell r="I120" t="str">
            <v>",</v>
          </cell>
          <cell r="J120" t="str">
            <v xml:space="preserve"> subtitle: </v>
          </cell>
          <cell r="K120" t="str">
            <v>"</v>
          </cell>
          <cell r="L120" t="str">
            <v>Mateo 1,18s; 2,13s.18</v>
          </cell>
          <cell r="M120" t="str">
            <v xml:space="preserve">", </v>
          </cell>
          <cell r="N120" t="str">
            <v xml:space="preserve">category: </v>
          </cell>
          <cell r="O120" t="str">
            <v>"</v>
          </cell>
          <cell r="P120" t="str">
            <v>PRECATECUMENADO</v>
          </cell>
          <cell r="Q120" t="str">
            <v>"</v>
          </cell>
          <cell r="R120" t="str">
            <v>, moments: [</v>
          </cell>
          <cell r="S120" t="str">
            <v>"</v>
          </cell>
          <cell r="T120" t="str">
            <v>Laudes/Visperas</v>
          </cell>
          <cell r="U120" t="str">
            <v>", "</v>
          </cell>
          <cell r="V120" t="str">
            <v>Comunión</v>
          </cell>
          <cell r="AE120" t="str">
            <v>"], url: "</v>
          </cell>
          <cell r="AF120" t="str">
            <v>/cantos/resucito/l/lacorderadedios.html</v>
          </cell>
          <cell r="AG120" t="str">
            <v>/cantos/resucito/l/lacorderadedios.html</v>
          </cell>
          <cell r="AH120" t="str">
            <v>"},</v>
          </cell>
          <cell r="AI120" t="str">
            <v>l</v>
          </cell>
          <cell r="AJ120" t="str">
            <v>p</v>
          </cell>
          <cell r="AK120" t="str">
            <v>{id:117,title: "lacorderadediosLa cordera de Dios", subtitle: "Mateo 1,18s; 2,13s.18", category: "PRECATECUMENADO", moments: ["Laudes/Visperas", "Comunión"], url: "/cantos/resucito/l/lacorderadedios.html/cantos/resucito/l/lacorderadedios.html"},</v>
          </cell>
          <cell r="AL120" t="str">
            <v>LA CORDERA DE DIOS</v>
          </cell>
          <cell r="AM120" t="str">
            <v>lacorderadedios</v>
          </cell>
          <cell r="AN120" t="str">
            <v>Mateo 1,18s; 2,13s.18</v>
          </cell>
          <cell r="AP120" t="str">
            <v>CANTO</v>
          </cell>
          <cell r="AQ120" t="str">
            <v>LA CORDERA DE DIOS</v>
          </cell>
        </row>
        <row r="121">
          <cell r="A121">
            <v>97</v>
          </cell>
          <cell r="B121" t="str">
            <v>{id:</v>
          </cell>
          <cell r="C121">
            <v>118</v>
          </cell>
          <cell r="D121" t="str">
            <v>,</v>
          </cell>
          <cell r="E121" t="str">
            <v xml:space="preserve">title: </v>
          </cell>
          <cell r="F121" t="str">
            <v>"</v>
          </cell>
          <cell r="G121" t="str">
            <v>laespada</v>
          </cell>
          <cell r="H121" t="str">
            <v>La espada</v>
          </cell>
          <cell r="I121" t="str">
            <v>",</v>
          </cell>
          <cell r="J121" t="str">
            <v xml:space="preserve"> subtitle: </v>
          </cell>
          <cell r="K121" t="str">
            <v>"</v>
          </cell>
          <cell r="L121" t="str">
            <v>Ezequiel 21,14-22</v>
          </cell>
          <cell r="M121" t="str">
            <v xml:space="preserve">", </v>
          </cell>
          <cell r="N121" t="str">
            <v xml:space="preserve">category: </v>
          </cell>
          <cell r="O121" t="str">
            <v>"</v>
          </cell>
          <cell r="P121" t="str">
            <v>PRECATECUMENADO</v>
          </cell>
          <cell r="Q121" t="str">
            <v>"</v>
          </cell>
          <cell r="R121" t="str">
            <v>, moments: [</v>
          </cell>
          <cell r="S121" t="str">
            <v>"</v>
          </cell>
          <cell r="T121" t="str">
            <v>Virgen</v>
          </cell>
          <cell r="AE121" t="str">
            <v>"], url: "</v>
          </cell>
          <cell r="AF121" t="str">
            <v>/cantos/resucito/l/laespada.html</v>
          </cell>
          <cell r="AG121" t="str">
            <v>/cantos/resucito/l/laespada.html</v>
          </cell>
          <cell r="AH121" t="str">
            <v>"},</v>
          </cell>
          <cell r="AI121" t="str">
            <v>l</v>
          </cell>
          <cell r="AJ121" t="str">
            <v>p</v>
          </cell>
          <cell r="AK121" t="str">
            <v>{id:118,title: "laespadaLa espada", subtitle: "Ezequiel 21,14-22", category: "PRECATECUMENADO", moments: ["Virgen"], url: "/cantos/resucito/l/laespada.html/cantos/resucito/l/laespada.html"},</v>
          </cell>
          <cell r="AL121" t="str">
            <v>LA ESPADA</v>
          </cell>
          <cell r="AM121" t="str">
            <v>laespada</v>
          </cell>
          <cell r="AN121" t="str">
            <v>Ezequiel 21,14-22</v>
          </cell>
          <cell r="AP121" t="str">
            <v>CANTO</v>
          </cell>
          <cell r="AQ121" t="str">
            <v>LA ESPADA</v>
          </cell>
        </row>
        <row r="122">
          <cell r="A122">
            <v>98</v>
          </cell>
          <cell r="B122" t="str">
            <v>{id:</v>
          </cell>
          <cell r="C122">
            <v>119</v>
          </cell>
          <cell r="D122" t="str">
            <v>,</v>
          </cell>
          <cell r="E122" t="str">
            <v xml:space="preserve">title: </v>
          </cell>
          <cell r="F122" t="str">
            <v>"</v>
          </cell>
          <cell r="G122" t="str">
            <v>lamarchaesdura</v>
          </cell>
          <cell r="H122" t="str">
            <v>La marcha es dura</v>
          </cell>
          <cell r="I122" t="str">
            <v>",</v>
          </cell>
          <cell r="J122" t="str">
            <v xml:space="preserve"> subtitle: </v>
          </cell>
          <cell r="K122" t="str">
            <v>"</v>
          </cell>
          <cell r="L122" t="str">
            <v>Espiritual negro «Go down, Moses»</v>
          </cell>
          <cell r="M122" t="str">
            <v xml:space="preserve">", </v>
          </cell>
          <cell r="N122" t="str">
            <v xml:space="preserve">category: </v>
          </cell>
          <cell r="O122" t="str">
            <v>"</v>
          </cell>
          <cell r="P122" t="str">
            <v>PRECATECUMENADO</v>
          </cell>
          <cell r="Q122" t="str">
            <v>"</v>
          </cell>
          <cell r="R122" t="str">
            <v>, moments: [</v>
          </cell>
          <cell r="S122" t="str">
            <v>"</v>
          </cell>
          <cell r="T122" t="str">
            <v>Final</v>
          </cell>
          <cell r="U122" t="str">
            <v>", "</v>
          </cell>
          <cell r="V122" t="str">
            <v>Nuevo Testamento</v>
          </cell>
          <cell r="AE122" t="str">
            <v>"], url: "</v>
          </cell>
          <cell r="AF122" t="str">
            <v>/cantos/resucito/l/lamarchaesdura.html</v>
          </cell>
          <cell r="AG122" t="str">
            <v>/cantos/resucito/l/lamarchaesdura.html</v>
          </cell>
          <cell r="AH122" t="str">
            <v>"},</v>
          </cell>
          <cell r="AI122" t="str">
            <v>l</v>
          </cell>
          <cell r="AJ122" t="str">
            <v>p</v>
          </cell>
          <cell r="AK122" t="str">
            <v>{id:119,title: "lamarchaesduraLa marcha es dura", subtitle: "Espiritual negro «Go down, Moses»", category: "PRECATECUMENADO", moments: ["Final", "Nuevo Testamento"], url: "/cantos/resucito/l/lamarchaesdura.html/cantos/resucito/l/lamarchaesdura.html"},</v>
          </cell>
          <cell r="AL122" t="str">
            <v>LA MARCHA ES DURA</v>
          </cell>
          <cell r="AM122" t="str">
            <v>lamarchaesdura</v>
          </cell>
          <cell r="AN122" t="str">
            <v>Espiritual negro «Go down, Moses»</v>
          </cell>
          <cell r="AP122" t="str">
            <v>CANTO</v>
          </cell>
          <cell r="AQ122" t="str">
            <v>LA MARCHA ES DURA</v>
          </cell>
        </row>
        <row r="123">
          <cell r="A123">
            <v>242</v>
          </cell>
          <cell r="B123" t="str">
            <v>{id:</v>
          </cell>
          <cell r="C123">
            <v>120</v>
          </cell>
          <cell r="D123" t="str">
            <v>,</v>
          </cell>
          <cell r="E123" t="str">
            <v xml:space="preserve">title: </v>
          </cell>
          <cell r="F123" t="str">
            <v>"</v>
          </cell>
          <cell r="G123" t="str">
            <v>lapalomavolo</v>
          </cell>
          <cell r="H123" t="str">
            <v>La paloma voló</v>
          </cell>
          <cell r="I123" t="str">
            <v>",</v>
          </cell>
          <cell r="J123" t="str">
            <v xml:space="preserve"> subtitle: </v>
          </cell>
          <cell r="K123" t="str">
            <v>"</v>
          </cell>
          <cell r="L123" t="str">
            <v>Oda XXIV de Salomón</v>
          </cell>
          <cell r="M123" t="str">
            <v xml:space="preserve">", </v>
          </cell>
          <cell r="N123" t="str">
            <v xml:space="preserve">category: </v>
          </cell>
          <cell r="O123" t="str">
            <v>"</v>
          </cell>
          <cell r="P123" t="str">
            <v>ELECCIÓN</v>
          </cell>
          <cell r="Q123" t="str">
            <v>"</v>
          </cell>
          <cell r="R123" t="str">
            <v>, moments: [</v>
          </cell>
          <cell r="S123" t="str">
            <v>"</v>
          </cell>
          <cell r="T123" t="str">
            <v>Comunión</v>
          </cell>
          <cell r="U123" t="str">
            <v>", "</v>
          </cell>
          <cell r="V123" t="str">
            <v>Antiguo Testamento</v>
          </cell>
          <cell r="AE123" t="str">
            <v>"], url: "</v>
          </cell>
          <cell r="AF123" t="str">
            <v>/cantos/resucito/l/lapalomavolo.html</v>
          </cell>
          <cell r="AG123" t="str">
            <v>/cantos/resucito/l/lapalomavolo.html</v>
          </cell>
          <cell r="AH123" t="str">
            <v>"},</v>
          </cell>
          <cell r="AI123" t="str">
            <v>l</v>
          </cell>
          <cell r="AJ123" t="str">
            <v>e</v>
          </cell>
          <cell r="AK123" t="str">
            <v>{id:120,title: "lapalomavoloLa paloma voló", subtitle: "Oda XXIV de Salomón", category: "ELECCIÓN", moments: ["Comunión", "Antiguo Testamento"], url: "/cantos/resucito/l/lapalomavolo.html/cantos/resucito/l/lapalomavolo.html"},</v>
          </cell>
          <cell r="AL123" t="str">
            <v>LA PALOMA VOLÓ</v>
          </cell>
          <cell r="AM123" t="str">
            <v>lapalomavoló</v>
          </cell>
          <cell r="AN123" t="str">
            <v>Oda XXIV de Salomón</v>
          </cell>
          <cell r="AP123" t="str">
            <v>CANTO</v>
          </cell>
          <cell r="AQ123" t="str">
            <v>LA PALOMA VOLÓ</v>
          </cell>
        </row>
        <row r="124">
          <cell r="A124">
            <v>99</v>
          </cell>
          <cell r="B124" t="str">
            <v>{id:</v>
          </cell>
          <cell r="C124">
            <v>121</v>
          </cell>
          <cell r="D124" t="str">
            <v>,</v>
          </cell>
          <cell r="E124" t="str">
            <v xml:space="preserve">title: </v>
          </cell>
          <cell r="F124" t="str">
            <v>"</v>
          </cell>
          <cell r="G124" t="str">
            <v>lasalve</v>
          </cell>
          <cell r="H124" t="str">
            <v>La Salve</v>
          </cell>
          <cell r="I124" t="str">
            <v>",</v>
          </cell>
          <cell r="J124" t="str">
            <v xml:space="preserve"> subtitle: </v>
          </cell>
          <cell r="K124" t="str">
            <v>"</v>
          </cell>
          <cell r="L124" t="str">
            <v>Himno lat. «Salve Regina»</v>
          </cell>
          <cell r="M124" t="str">
            <v xml:space="preserve">", </v>
          </cell>
          <cell r="N124" t="str">
            <v xml:space="preserve">category: </v>
          </cell>
          <cell r="O124" t="str">
            <v>"</v>
          </cell>
          <cell r="P124" t="str">
            <v>PRECATECUMENADO</v>
          </cell>
          <cell r="Q124" t="str">
            <v>"</v>
          </cell>
          <cell r="R124" t="str">
            <v>, moments: [</v>
          </cell>
          <cell r="S124" t="str">
            <v>"</v>
          </cell>
          <cell r="T124" t="str">
            <v>Cuaresma</v>
          </cell>
          <cell r="U124" t="str">
            <v>", "</v>
          </cell>
          <cell r="V124" t="str">
            <v>Laudes/Visperas</v>
          </cell>
          <cell r="W124" t="str">
            <v>", "</v>
          </cell>
          <cell r="X124" t="str">
            <v>Nuevo Testamento</v>
          </cell>
          <cell r="AE124" t="str">
            <v>"], url: "</v>
          </cell>
          <cell r="AF124" t="str">
            <v>/cantos/resucito/l/lasalve.html</v>
          </cell>
          <cell r="AG124" t="str">
            <v>/cantos/resucito/l/lasalve.html</v>
          </cell>
          <cell r="AH124" t="str">
            <v>"},</v>
          </cell>
          <cell r="AI124" t="str">
            <v>l</v>
          </cell>
          <cell r="AJ124" t="str">
            <v>p</v>
          </cell>
          <cell r="AK124" t="str">
            <v>{id:121,title: "lasalveLa Salve", subtitle: "Himno lat. «Salve Regina»", category: "PRECATECUMENADO", moments: ["Cuaresma", "Laudes/Visperas", "Nuevo Testamento"], url: "/cantos/resucito/l/lasalve.html/cantos/resucito/l/lasalve.html"},</v>
          </cell>
          <cell r="AL124" t="str">
            <v>LA SALVE</v>
          </cell>
          <cell r="AM124" t="str">
            <v>lasalve</v>
          </cell>
          <cell r="AN124" t="str">
            <v>Himno lat. «Salve Regina»</v>
          </cell>
          <cell r="AP124" t="str">
            <v>CANTO</v>
          </cell>
          <cell r="AQ124" t="str">
            <v>LA SALVE</v>
          </cell>
        </row>
        <row r="125">
          <cell r="A125">
            <v>100</v>
          </cell>
          <cell r="B125" t="str">
            <v>{id:</v>
          </cell>
          <cell r="C125">
            <v>122</v>
          </cell>
          <cell r="D125" t="str">
            <v>,</v>
          </cell>
          <cell r="E125" t="str">
            <v xml:space="preserve">title: </v>
          </cell>
          <cell r="F125" t="str">
            <v>"</v>
          </cell>
          <cell r="G125" t="str">
            <v>lasiegadelasnaciones</v>
          </cell>
          <cell r="H125" t="str">
            <v>La siega de las naciones</v>
          </cell>
          <cell r="I125" t="str">
            <v>",</v>
          </cell>
          <cell r="J125" t="str">
            <v xml:space="preserve"> subtitle: </v>
          </cell>
          <cell r="K125" t="str">
            <v>"</v>
          </cell>
          <cell r="L125" t="str">
            <v>Juan 4,31-38</v>
          </cell>
          <cell r="M125" t="str">
            <v xml:space="preserve">", </v>
          </cell>
          <cell r="N125" t="str">
            <v xml:space="preserve">category: </v>
          </cell>
          <cell r="O125" t="str">
            <v>"</v>
          </cell>
          <cell r="P125" t="str">
            <v>PRECATECUMENADO</v>
          </cell>
          <cell r="Q125" t="str">
            <v>"</v>
          </cell>
          <cell r="R125" t="str">
            <v>, moments: [</v>
          </cell>
          <cell r="S125" t="str">
            <v>"</v>
          </cell>
          <cell r="AE125" t="str">
            <v>"], url: "</v>
          </cell>
          <cell r="AF125" t="str">
            <v>/cantos/resucito/l/lasiegadelasnaciones.html</v>
          </cell>
          <cell r="AG125" t="str">
            <v>/cantos/resucito/l/lasiegadelasnaciones.html</v>
          </cell>
          <cell r="AH125" t="str">
            <v>"},</v>
          </cell>
          <cell r="AI125" t="str">
            <v>l</v>
          </cell>
          <cell r="AJ125" t="str">
            <v>p</v>
          </cell>
          <cell r="AK125" t="str">
            <v>{id:122,title: "lasiegadelasnacionesLa siega de las naciones", subtitle: "Juan 4,31-38", category: "PRECATECUMENADO", moments: [""], url: "/cantos/resucito/l/lasiegadelasnaciones.html/cantos/resucito/l/lasiegadelasnaciones.html"},</v>
          </cell>
          <cell r="AL125" t="str">
            <v>LA SIEGA DE LAS NACIONES</v>
          </cell>
          <cell r="AM125" t="str">
            <v>lasiegadelasnaciones</v>
          </cell>
          <cell r="AN125" t="str">
            <v>Juan 4,31-38</v>
          </cell>
          <cell r="AP125" t="str">
            <v>CANTO</v>
          </cell>
          <cell r="AQ125" t="str">
            <v>LA SIEGA DE LAS NACIONES</v>
          </cell>
        </row>
        <row r="126">
          <cell r="A126">
            <v>101</v>
          </cell>
          <cell r="B126" t="str">
            <v>{id:</v>
          </cell>
          <cell r="C126">
            <v>123</v>
          </cell>
          <cell r="D126" t="str">
            <v>,</v>
          </cell>
          <cell r="E126" t="str">
            <v xml:space="preserve">title: </v>
          </cell>
          <cell r="F126" t="str">
            <v>"</v>
          </cell>
          <cell r="G126" t="str">
            <v>lavozdemiamado</v>
          </cell>
          <cell r="H126" t="str">
            <v>La voz de mi amado</v>
          </cell>
          <cell r="I126" t="str">
            <v>",</v>
          </cell>
          <cell r="J126" t="str">
            <v xml:space="preserve"> subtitle: </v>
          </cell>
          <cell r="K126" t="str">
            <v>"</v>
          </cell>
          <cell r="L126" t="str">
            <v>Cantar de los Cantares 2,8-17</v>
          </cell>
          <cell r="M126" t="str">
            <v xml:space="preserve">", </v>
          </cell>
          <cell r="N126" t="str">
            <v xml:space="preserve">category: </v>
          </cell>
          <cell r="O126" t="str">
            <v>"</v>
          </cell>
          <cell r="P126" t="str">
            <v>PRECATECUMENADO</v>
          </cell>
          <cell r="Q126" t="str">
            <v>"</v>
          </cell>
          <cell r="R126" t="str">
            <v>, moments: [</v>
          </cell>
          <cell r="S126" t="str">
            <v>"</v>
          </cell>
          <cell r="AE126" t="str">
            <v>"], url: "</v>
          </cell>
          <cell r="AF126" t="str">
            <v>/cantos/resucito/l/lavozdemiamado.html</v>
          </cell>
          <cell r="AG126" t="str">
            <v>/cantos/resucito/l/lavozdemiamado.html</v>
          </cell>
          <cell r="AH126" t="str">
            <v>"},</v>
          </cell>
          <cell r="AI126" t="str">
            <v>l</v>
          </cell>
          <cell r="AJ126" t="str">
            <v>p</v>
          </cell>
          <cell r="AK126" t="str">
            <v>{id:123,title: "lavozdemiamadoLa voz de mi amado", subtitle: "Cantar de los Cantares 2,8-17", category: "PRECATECUMENADO", moments: [""], url: "/cantos/resucito/l/lavozdemiamado.html/cantos/resucito/l/lavozdemiamado.html"},</v>
          </cell>
          <cell r="AL126" t="str">
            <v>LA VOZ DE MI AMADO</v>
          </cell>
          <cell r="AM126" t="str">
            <v>lavozdemiamado</v>
          </cell>
          <cell r="AN126" t="str">
            <v>Cantar de los Cantares 2,8-17</v>
          </cell>
          <cell r="AP126" t="str">
            <v>CANTO</v>
          </cell>
          <cell r="AQ126" t="str">
            <v>LA VOZ DE MI AMADO</v>
          </cell>
        </row>
        <row r="127">
          <cell r="A127">
            <v>102</v>
          </cell>
          <cell r="B127" t="str">
            <v>{id:</v>
          </cell>
          <cell r="C127">
            <v>124</v>
          </cell>
          <cell r="D127" t="str">
            <v>,</v>
          </cell>
          <cell r="E127" t="str">
            <v xml:space="preserve">title: </v>
          </cell>
          <cell r="F127" t="str">
            <v>"</v>
          </cell>
          <cell r="G127" t="str">
            <v>lasarmasdelaluz</v>
          </cell>
          <cell r="H127" t="str">
            <v>Las armas de la luz</v>
          </cell>
          <cell r="I127" t="str">
            <v>",</v>
          </cell>
          <cell r="J127" t="str">
            <v xml:space="preserve"> subtitle: </v>
          </cell>
          <cell r="K127" t="str">
            <v>"</v>
          </cell>
          <cell r="L127" t="str">
            <v>cf Efesios 6,11.ss</v>
          </cell>
          <cell r="M127" t="str">
            <v xml:space="preserve">", </v>
          </cell>
          <cell r="N127" t="str">
            <v xml:space="preserve">category: </v>
          </cell>
          <cell r="O127" t="str">
            <v>"</v>
          </cell>
          <cell r="P127" t="str">
            <v>PRECATECUMENADO</v>
          </cell>
          <cell r="Q127" t="str">
            <v>"</v>
          </cell>
          <cell r="R127" t="str">
            <v>, moments: [</v>
          </cell>
          <cell r="S127" t="str">
            <v>"</v>
          </cell>
          <cell r="AE127" t="str">
            <v>"], url: "</v>
          </cell>
          <cell r="AF127" t="str">
            <v>/cantos/resucito/l/lasarmasdelaluz.html</v>
          </cell>
          <cell r="AG127" t="str">
            <v>/cantos/resucito/l/lasarmasdelaluz.html</v>
          </cell>
          <cell r="AH127" t="str">
            <v>"},</v>
          </cell>
          <cell r="AI127" t="str">
            <v>l</v>
          </cell>
          <cell r="AJ127" t="str">
            <v>p</v>
          </cell>
          <cell r="AK127" t="str">
            <v>{id:124,title: "lasarmasdelaluzLas armas de la luz", subtitle: "cf Efesios 6,11.ss", category: "PRECATECUMENADO", moments: [""], url: "/cantos/resucito/l/lasarmasdelaluz.html/cantos/resucito/l/lasarmasdelaluz.html"},</v>
          </cell>
          <cell r="AL127" t="str">
            <v>LAS ARMAS DE LA LUZ</v>
          </cell>
          <cell r="AM127" t="str">
            <v>lasarmasdelaluz</v>
          </cell>
          <cell r="AN127" t="str">
            <v>cf Efesios 6,11.ss</v>
          </cell>
          <cell r="AP127" t="str">
            <v>CANTO</v>
          </cell>
          <cell r="AQ127" t="str">
            <v>LAS ARMAS DE LA LUZ</v>
          </cell>
        </row>
        <row r="128">
          <cell r="A128">
            <v>103</v>
          </cell>
          <cell r="B128" t="str">
            <v>{id:</v>
          </cell>
          <cell r="C128">
            <v>125</v>
          </cell>
          <cell r="D128" t="str">
            <v>,</v>
          </cell>
          <cell r="E128" t="str">
            <v xml:space="preserve">title: </v>
          </cell>
          <cell r="F128" t="str">
            <v>"</v>
          </cell>
          <cell r="G128" t="str">
            <v>laudasion</v>
          </cell>
          <cell r="H128" t="str">
            <v>Lauda Sión</v>
          </cell>
          <cell r="I128" t="str">
            <v>",</v>
          </cell>
          <cell r="J128" t="str">
            <v xml:space="preserve"> subtitle: </v>
          </cell>
          <cell r="K128" t="str">
            <v>"</v>
          </cell>
          <cell r="L128" t="str">
            <v xml:space="preserve">Secuencia del Corpus Christi (Santo Tomas de Aquino) </v>
          </cell>
          <cell r="M128" t="str">
            <v xml:space="preserve">", </v>
          </cell>
          <cell r="N128" t="str">
            <v xml:space="preserve">category: </v>
          </cell>
          <cell r="O128" t="str">
            <v>"</v>
          </cell>
          <cell r="P128" t="str">
            <v>PRECATECUMENADO</v>
          </cell>
          <cell r="Q128" t="str">
            <v>"</v>
          </cell>
          <cell r="R128" t="str">
            <v>, moments: [</v>
          </cell>
          <cell r="S128" t="str">
            <v>"</v>
          </cell>
          <cell r="AE128" t="str">
            <v>"], url: "</v>
          </cell>
          <cell r="AF128" t="str">
            <v>/cantos/resucito/l/laudasion.html</v>
          </cell>
          <cell r="AG128" t="str">
            <v>/cantos/resucito/l/laudasion.html</v>
          </cell>
          <cell r="AH128" t="str">
            <v>"},</v>
          </cell>
          <cell r="AI128" t="str">
            <v>l</v>
          </cell>
          <cell r="AJ128" t="str">
            <v>p</v>
          </cell>
          <cell r="AK128" t="str">
            <v>{id:125,title: "laudasionLauda Sión", subtitle: "Secuencia del Corpus Christi (Santo Tomas de Aquino) ", category: "PRECATECUMENADO", moments: [""], url: "/cantos/resucito/l/laudasion.html/cantos/resucito/l/laudasion.html"},</v>
          </cell>
          <cell r="AL128" t="str">
            <v>LAUDA SIÓN</v>
          </cell>
          <cell r="AM128" t="str">
            <v>laudasión</v>
          </cell>
          <cell r="AN128" t="str">
            <v xml:space="preserve">Secuencia del Corpus Christi (Santo Tomas de Aquino) </v>
          </cell>
          <cell r="AP128" t="str">
            <v>CANTO</v>
          </cell>
          <cell r="AQ128" t="str">
            <v>LAUDA SIÓN</v>
          </cell>
        </row>
        <row r="129">
          <cell r="A129">
            <v>189</v>
          </cell>
          <cell r="B129" t="str">
            <v>{id:</v>
          </cell>
          <cell r="C129">
            <v>126</v>
          </cell>
          <cell r="D129" t="str">
            <v>,</v>
          </cell>
          <cell r="E129" t="str">
            <v xml:space="preserve">title: </v>
          </cell>
          <cell r="F129" t="str">
            <v>"</v>
          </cell>
          <cell r="G129" t="str">
            <v>letaniasdelossantos</v>
          </cell>
          <cell r="H129" t="str">
            <v>Letanías de los santos</v>
          </cell>
          <cell r="I129" t="str">
            <v>",</v>
          </cell>
          <cell r="J129" t="str">
            <v xml:space="preserve"> subtitle: </v>
          </cell>
          <cell r="K129" t="str">
            <v>"</v>
          </cell>
          <cell r="L129" t="str">
            <v>De la liturgia bautismal de la Vigilia pascual</v>
          </cell>
          <cell r="M129" t="str">
            <v xml:space="preserve">", </v>
          </cell>
          <cell r="N129" t="str">
            <v xml:space="preserve">category: </v>
          </cell>
          <cell r="O129" t="str">
            <v>"</v>
          </cell>
          <cell r="P129" t="str">
            <v>LITÚRGICOS</v>
          </cell>
          <cell r="Q129" t="str">
            <v>"</v>
          </cell>
          <cell r="R129" t="str">
            <v>, moments: [</v>
          </cell>
          <cell r="S129" t="str">
            <v>"</v>
          </cell>
          <cell r="AE129" t="str">
            <v>"], url: "</v>
          </cell>
          <cell r="AF129" t="str">
            <v>/cantos/resucito/l/letaniasdelossantos.html</v>
          </cell>
          <cell r="AG129" t="str">
            <v>/cantos/resucito/l/letaniasdelossantos.html</v>
          </cell>
          <cell r="AH129" t="str">
            <v>"},</v>
          </cell>
          <cell r="AI129" t="str">
            <v>l</v>
          </cell>
          <cell r="AJ129" t="str">
            <v>l</v>
          </cell>
          <cell r="AK129" t="str">
            <v>{id:126,title: "letaniasdelossantosLetanías de los santos", subtitle: "De la liturgia bautismal de la Vigilia pascual", category: "LITÚRGICOS", moments: [""], url: "/cantos/resucito/l/letaniasdelossantos.html/cantos/resucito/l/letaniasdelossantos.html"},</v>
          </cell>
          <cell r="AL129" t="str">
            <v>LETANÍAS DE LOS SANTOS</v>
          </cell>
          <cell r="AM129" t="str">
            <v>letaníasdelossantos</v>
          </cell>
          <cell r="AN129" t="str">
            <v>De la liturgia bautismal de la Vigilia pascual</v>
          </cell>
          <cell r="AP129" t="str">
            <v>CANTO</v>
          </cell>
          <cell r="AQ129" t="str">
            <v>LETANÍAS DE LOS SANTOS</v>
          </cell>
        </row>
        <row r="130">
          <cell r="A130">
            <v>191</v>
          </cell>
          <cell r="B130" t="str">
            <v>{id:</v>
          </cell>
          <cell r="C130">
            <v>127</v>
          </cell>
          <cell r="D130" t="str">
            <v>,</v>
          </cell>
          <cell r="E130" t="str">
            <v xml:space="preserve">title: </v>
          </cell>
          <cell r="F130" t="str">
            <v>"</v>
          </cell>
          <cell r="G130" t="str">
            <v>letaniaspenitencialesi</v>
          </cell>
          <cell r="H130" t="str">
            <v>Letanías penitenciales I</v>
          </cell>
          <cell r="I130" t="str">
            <v>",</v>
          </cell>
          <cell r="J130" t="str">
            <v xml:space="preserve"> subtitle: </v>
          </cell>
          <cell r="K130" t="str">
            <v>"</v>
          </cell>
          <cell r="L130" t="str">
            <v>Letanía para la Celebración Penitencial – modelo abreviado</v>
          </cell>
          <cell r="M130" t="str">
            <v xml:space="preserve">", </v>
          </cell>
          <cell r="N130" t="str">
            <v xml:space="preserve">category: </v>
          </cell>
          <cell r="O130" t="str">
            <v>"</v>
          </cell>
          <cell r="P130" t="str">
            <v>LITÚRGICOS</v>
          </cell>
          <cell r="Q130" t="str">
            <v>"</v>
          </cell>
          <cell r="R130" t="str">
            <v>, moments: [</v>
          </cell>
          <cell r="S130" t="str">
            <v>"</v>
          </cell>
          <cell r="T130" t="str">
            <v>Cuaresma</v>
          </cell>
          <cell r="U130" t="str">
            <v>", "</v>
          </cell>
          <cell r="V130" t="str">
            <v>Laudes/Visperas</v>
          </cell>
          <cell r="W130" t="str">
            <v>", "</v>
          </cell>
          <cell r="X130" t="str">
            <v>Entrada</v>
          </cell>
          <cell r="Y130" t="str">
            <v>", "</v>
          </cell>
          <cell r="Z130" t="str">
            <v>Antiguo Testamento</v>
          </cell>
          <cell r="AE130" t="str">
            <v>"], url: "</v>
          </cell>
          <cell r="AF130" t="str">
            <v>/cantos/resucito/l/letaniaspenitencialesi.html</v>
          </cell>
          <cell r="AG130" t="str">
            <v>/cantos/resucito/l/letaniaspenitencialesi.html</v>
          </cell>
          <cell r="AH130" t="str">
            <v>"},</v>
          </cell>
          <cell r="AI130" t="str">
            <v>l</v>
          </cell>
          <cell r="AJ130" t="str">
            <v>l</v>
          </cell>
          <cell r="AK130" t="str">
            <v>{id:127,title: "letaniaspenitencialesiLetanías penitenciales I", subtitle: "Letanía para la Celebración Penitencial – modelo abreviado", category: "LITÚRGICOS", moments: ["Cuaresma", "Laudes/Visperas", "Entrada", "Antiguo Testamento"], url: "/cantos/resucito/l/letaniaspenitencialesi.html/cantos/resucito/l/letaniaspenitencialesi.html"},</v>
          </cell>
          <cell r="AL130" t="str">
            <v>LETANÍAS PENITENCIALES I</v>
          </cell>
          <cell r="AM130" t="str">
            <v>letaníaspenitencialesi</v>
          </cell>
          <cell r="AN130" t="str">
            <v>Letanía para la Celebración Penitencial – modelo abreviado</v>
          </cell>
          <cell r="AP130" t="str">
            <v>CANTO</v>
          </cell>
          <cell r="AQ130" t="str">
            <v>LETANÍAS PENITENCIALES I</v>
          </cell>
        </row>
        <row r="131">
          <cell r="A131">
            <v>192</v>
          </cell>
          <cell r="B131" t="str">
            <v>{id:</v>
          </cell>
          <cell r="C131">
            <v>128</v>
          </cell>
          <cell r="D131" t="str">
            <v>,</v>
          </cell>
          <cell r="E131" t="str">
            <v xml:space="preserve">title: </v>
          </cell>
          <cell r="F131" t="str">
            <v>"</v>
          </cell>
          <cell r="G131" t="str">
            <v>letaniaspenitencialesii</v>
          </cell>
          <cell r="H131" t="str">
            <v>Letanías penitenciales II</v>
          </cell>
          <cell r="I131" t="str">
            <v>",</v>
          </cell>
          <cell r="J131" t="str">
            <v xml:space="preserve"> subtitle: </v>
          </cell>
          <cell r="K131" t="str">
            <v>"</v>
          </cell>
          <cell r="L131" t="str">
            <v>Letanía para la Celebración Penitencial</v>
          </cell>
          <cell r="M131" t="str">
            <v xml:space="preserve">", </v>
          </cell>
          <cell r="N131" t="str">
            <v xml:space="preserve">category: </v>
          </cell>
          <cell r="O131" t="str">
            <v>"</v>
          </cell>
          <cell r="P131" t="str">
            <v>LITÚRGICOS</v>
          </cell>
          <cell r="Q131" t="str">
            <v>"</v>
          </cell>
          <cell r="R131" t="str">
            <v>, moments: [</v>
          </cell>
          <cell r="S131" t="str">
            <v>"</v>
          </cell>
          <cell r="T131" t="str">
            <v>Cuaresma</v>
          </cell>
          <cell r="U131" t="str">
            <v>", "</v>
          </cell>
          <cell r="V131" t="str">
            <v>Laudes/Visperas</v>
          </cell>
          <cell r="W131" t="str">
            <v>", "</v>
          </cell>
          <cell r="X131" t="str">
            <v>Entrada</v>
          </cell>
          <cell r="AE131" t="str">
            <v>"], url: "</v>
          </cell>
          <cell r="AF131" t="str">
            <v>/cantos/resucito/l/letaniaspenitencialesii.html</v>
          </cell>
          <cell r="AG131" t="str">
            <v>/cantos/resucito/l/letaniaspenitencialesii.html</v>
          </cell>
          <cell r="AH131" t="str">
            <v>"},</v>
          </cell>
          <cell r="AI131" t="str">
            <v>l</v>
          </cell>
          <cell r="AJ131" t="str">
            <v>l</v>
          </cell>
          <cell r="AK131" t="str">
            <v>{id:128,title: "letaniaspenitencialesiiLetanías penitenciales II", subtitle: "Letanía para la Celebración Penitencial", category: "LITÚRGICOS", moments: ["Cuaresma", "Laudes/Visperas", "Entrada"], url: "/cantos/resucito/l/letaniaspenitencialesii.html/cantos/resucito/l/letaniaspenitencialesii.html"},</v>
          </cell>
          <cell r="AL131" t="str">
            <v>LETANÍAS PENITENCIALES II</v>
          </cell>
          <cell r="AM131" t="str">
            <v>letaníaspenitencialesii</v>
          </cell>
          <cell r="AN131" t="str">
            <v>Letanía para la Celebración Penitencial</v>
          </cell>
          <cell r="AP131" t="str">
            <v>CANTO</v>
          </cell>
          <cell r="AQ131" t="str">
            <v>LETANÍAS PENITENCIALES II</v>
          </cell>
        </row>
        <row r="132">
          <cell r="A132">
            <v>105</v>
          </cell>
          <cell r="B132" t="str">
            <v>{id:</v>
          </cell>
          <cell r="C132">
            <v>129</v>
          </cell>
          <cell r="D132" t="str">
            <v>,</v>
          </cell>
          <cell r="E132" t="str">
            <v xml:space="preserve">title: </v>
          </cell>
          <cell r="F132" t="str">
            <v>"</v>
          </cell>
          <cell r="G132" t="str">
            <v>levantomisojosalosmontes</v>
          </cell>
          <cell r="H132" t="str">
            <v>Levanto mis ojos a los montes</v>
          </cell>
          <cell r="I132" t="str">
            <v>",</v>
          </cell>
          <cell r="J132" t="str">
            <v xml:space="preserve"> subtitle: </v>
          </cell>
          <cell r="K132" t="str">
            <v>"</v>
          </cell>
          <cell r="L132" t="str">
            <v>Sal 121 (120)</v>
          </cell>
          <cell r="M132" t="str">
            <v xml:space="preserve">", </v>
          </cell>
          <cell r="N132" t="str">
            <v xml:space="preserve">category: </v>
          </cell>
          <cell r="O132" t="str">
            <v>"</v>
          </cell>
          <cell r="P132" t="str">
            <v>PRECATECUMENADO</v>
          </cell>
          <cell r="Q132" t="str">
            <v>"</v>
          </cell>
          <cell r="R132" t="str">
            <v>, moments: [</v>
          </cell>
          <cell r="S132" t="str">
            <v>"</v>
          </cell>
          <cell r="T132" t="str">
            <v>Adviento</v>
          </cell>
          <cell r="U132" t="str">
            <v>", "</v>
          </cell>
          <cell r="V132" t="str">
            <v>Pentecostés</v>
          </cell>
          <cell r="W132" t="str">
            <v>", "</v>
          </cell>
          <cell r="X132" t="str">
            <v>Final</v>
          </cell>
          <cell r="Y132" t="str">
            <v>", "</v>
          </cell>
          <cell r="Z132" t="str">
            <v>Nuevo Testamento</v>
          </cell>
          <cell r="AE132" t="str">
            <v>"], url: "</v>
          </cell>
          <cell r="AF132" t="str">
            <v>/cantos/resucito/l/levantomisojosalosmontes.html</v>
          </cell>
          <cell r="AG132" t="str">
            <v>/cantos/resucito/l/levantomisojosalosmontes.html</v>
          </cell>
          <cell r="AH132" t="str">
            <v>"},</v>
          </cell>
          <cell r="AI132" t="str">
            <v>l</v>
          </cell>
          <cell r="AJ132" t="str">
            <v>p</v>
          </cell>
          <cell r="AK132" t="str">
            <v>{id:129,title: "levantomisojosalosmontesLevanto mis ojos a los montes", subtitle: "Sal 121 (120)", category: "PRECATECUMENADO", moments: ["Adviento", "Pentecostés", "Final", "Nuevo Testamento"], url: "/cantos/resucito/l/levantomisojosalosmontes.html/cantos/resucito/l/levantomisojosalosmontes.html"},</v>
          </cell>
          <cell r="AL132" t="str">
            <v>LEVANTO MIS OJOS A LOS MONTES</v>
          </cell>
          <cell r="AM132" t="str">
            <v>levantomisojosalosmontes</v>
          </cell>
          <cell r="AN132" t="str">
            <v>Sal 121 (120)</v>
          </cell>
          <cell r="AP132" t="str">
            <v>CANTO</v>
          </cell>
          <cell r="AQ132" t="str">
            <v>LEVANTO MIS OJOS A LOS MONTES</v>
          </cell>
        </row>
        <row r="133">
          <cell r="A133">
            <v>106</v>
          </cell>
          <cell r="B133" t="str">
            <v>{id:</v>
          </cell>
          <cell r="C133">
            <v>131</v>
          </cell>
          <cell r="D133" t="str">
            <v>,</v>
          </cell>
          <cell r="E133" t="str">
            <v xml:space="preserve">title: </v>
          </cell>
          <cell r="F133" t="str">
            <v>"</v>
          </cell>
          <cell r="G133" t="str">
            <v>lleguehastatupresenciamiclamor</v>
          </cell>
          <cell r="H133" t="str">
            <v>Llegue hasta tu presencia mi clamor</v>
          </cell>
          <cell r="I133" t="str">
            <v>",</v>
          </cell>
          <cell r="J133" t="str">
            <v xml:space="preserve"> subtitle: </v>
          </cell>
          <cell r="K133" t="str">
            <v>"</v>
          </cell>
          <cell r="L133" t="str">
            <v>Sal 119 (118)</v>
          </cell>
          <cell r="M133" t="str">
            <v xml:space="preserve">", </v>
          </cell>
          <cell r="N133" t="str">
            <v xml:space="preserve">category: </v>
          </cell>
          <cell r="O133" t="str">
            <v>"</v>
          </cell>
          <cell r="P133" t="str">
            <v>PRECATECUMENADO</v>
          </cell>
          <cell r="Q133" t="str">
            <v>"</v>
          </cell>
          <cell r="R133" t="str">
            <v>, moments: [</v>
          </cell>
          <cell r="S133" t="str">
            <v>"</v>
          </cell>
          <cell r="T133" t="str">
            <v>Virgen</v>
          </cell>
          <cell r="U133" t="str">
            <v>", "</v>
          </cell>
          <cell r="V133" t="str">
            <v>Laudes/Visperas</v>
          </cell>
          <cell r="W133" t="str">
            <v>", "</v>
          </cell>
          <cell r="X133" t="str">
            <v>Nuevo Testamento</v>
          </cell>
          <cell r="AE133" t="str">
            <v>"], url: "</v>
          </cell>
          <cell r="AF133" t="str">
            <v>/cantos/resucito/l/lleguehastatupresenciamiclamor.html</v>
          </cell>
          <cell r="AG133" t="str">
            <v>/cantos/resucito/l/lleguehastatupresenciamiclamor.html</v>
          </cell>
          <cell r="AH133" t="str">
            <v>"},</v>
          </cell>
          <cell r="AI133" t="str">
            <v>l</v>
          </cell>
          <cell r="AJ133" t="str">
            <v>p</v>
          </cell>
          <cell r="AK133" t="str">
            <v>{id:131,title: "lleguehastatupresenciamiclamorLlegue hasta tu presencia mi clamor", subtitle: "Sal 119 (118)", category: "PRECATECUMENADO", moments: ["Virgen", "Laudes/Visperas", "Nuevo Testamento"], url: "/cantos/resucito/l/lleguehastatupresenciamiclamor.html/cantos/resucito/l/lleguehastatupresenciamiclamor.html"},</v>
          </cell>
          <cell r="AL133" t="str">
            <v>LLEGUE HASTA TU PRESENCIA MI CLAMOR</v>
          </cell>
          <cell r="AM133" t="str">
            <v>lleguehastatupresenciamiclamor</v>
          </cell>
          <cell r="AN133" t="str">
            <v>Sal 119 (118)</v>
          </cell>
          <cell r="AP133" t="str">
            <v>CANTO</v>
          </cell>
          <cell r="AQ133" t="str">
            <v>LLEGUE HASTA TU PRESENCIA MI CLAMOR</v>
          </cell>
        </row>
        <row r="134">
          <cell r="A134">
            <v>107</v>
          </cell>
          <cell r="B134" t="str">
            <v>{id:</v>
          </cell>
          <cell r="C134">
            <v>132</v>
          </cell>
          <cell r="D134" t="str">
            <v>,</v>
          </cell>
          <cell r="E134" t="str">
            <v xml:space="preserve">title: </v>
          </cell>
          <cell r="F134" t="str">
            <v>"</v>
          </cell>
          <cell r="G134" t="str">
            <v>llevamealcielo</v>
          </cell>
          <cell r="H134" t="str">
            <v>Llévame al cielo</v>
          </cell>
          <cell r="I134" t="str">
            <v>",</v>
          </cell>
          <cell r="J134" t="str">
            <v xml:space="preserve"> subtitle: </v>
          </cell>
          <cell r="K134" t="str">
            <v>"</v>
          </cell>
          <cell r="L134" t="str">
            <v>Filipenses 1,23</v>
          </cell>
          <cell r="M134" t="str">
            <v xml:space="preserve">", </v>
          </cell>
          <cell r="N134" t="str">
            <v xml:space="preserve">category: </v>
          </cell>
          <cell r="O134" t="str">
            <v>"</v>
          </cell>
          <cell r="P134" t="str">
            <v>PRECATECUMENADO</v>
          </cell>
          <cell r="Q134" t="str">
            <v>"</v>
          </cell>
          <cell r="R134" t="str">
            <v>, moments: [</v>
          </cell>
          <cell r="S134" t="str">
            <v>"</v>
          </cell>
          <cell r="T134" t="str">
            <v>Virgen</v>
          </cell>
          <cell r="AE134" t="str">
            <v>"], url: "</v>
          </cell>
          <cell r="AF134" t="str">
            <v>/cantos/resucito/l/llevamealcielo.html</v>
          </cell>
          <cell r="AG134" t="str">
            <v>/cantos/resucito/l/llevamealcielo.html</v>
          </cell>
          <cell r="AH134" t="str">
            <v>"},</v>
          </cell>
          <cell r="AI134" t="str">
            <v>l</v>
          </cell>
          <cell r="AJ134" t="str">
            <v>p</v>
          </cell>
          <cell r="AK134" t="str">
            <v>{id:132,title: "llevamealcieloLlévame al cielo", subtitle: "Filipenses 1,23", category: "PRECATECUMENADO", moments: ["Virgen"], url: "/cantos/resucito/l/llevamealcielo.html/cantos/resucito/l/llevamealcielo.html"},</v>
          </cell>
          <cell r="AL134" t="str">
            <v>LLÉVAME AL CIELO</v>
          </cell>
          <cell r="AM134" t="str">
            <v>llévamealcielo</v>
          </cell>
          <cell r="AN134" t="str">
            <v>Filipenses 1,23</v>
          </cell>
          <cell r="AP134" t="str">
            <v>CANTO</v>
          </cell>
          <cell r="AQ134" t="str">
            <v>LLÉVAME AL CIELO</v>
          </cell>
        </row>
        <row r="135">
          <cell r="A135">
            <v>108</v>
          </cell>
          <cell r="B135" t="str">
            <v>{id:</v>
          </cell>
          <cell r="C135">
            <v>133</v>
          </cell>
          <cell r="D135" t="str">
            <v>,</v>
          </cell>
          <cell r="E135" t="str">
            <v xml:space="preserve">title: </v>
          </cell>
          <cell r="F135" t="str">
            <v>"</v>
          </cell>
          <cell r="G135" t="str">
            <v>magnificat</v>
          </cell>
          <cell r="H135" t="str">
            <v>Magníficat</v>
          </cell>
          <cell r="I135" t="str">
            <v>",</v>
          </cell>
          <cell r="J135" t="str">
            <v xml:space="preserve"> subtitle: </v>
          </cell>
          <cell r="K135" t="str">
            <v>"</v>
          </cell>
          <cell r="L135" t="str">
            <v>Lucas 1,46-55</v>
          </cell>
          <cell r="M135" t="str">
            <v xml:space="preserve">", </v>
          </cell>
          <cell r="N135" t="str">
            <v xml:space="preserve">category: </v>
          </cell>
          <cell r="O135" t="str">
            <v>"</v>
          </cell>
          <cell r="P135" t="str">
            <v>PRECATECUMENADO</v>
          </cell>
          <cell r="Q135" t="str">
            <v>"</v>
          </cell>
          <cell r="R135" t="str">
            <v>, moments: [</v>
          </cell>
          <cell r="S135" t="str">
            <v>"</v>
          </cell>
          <cell r="T135" t="str">
            <v>Virgen</v>
          </cell>
          <cell r="U135" t="str">
            <v>", "</v>
          </cell>
          <cell r="V135" t="str">
            <v>Entrada</v>
          </cell>
          <cell r="W135" t="str">
            <v>", "</v>
          </cell>
          <cell r="X135" t="str">
            <v>Nuevo Testamento</v>
          </cell>
          <cell r="AE135" t="str">
            <v>"], url: "</v>
          </cell>
          <cell r="AF135" t="str">
            <v>/cantos/resucito/m/magnificat.html</v>
          </cell>
          <cell r="AG135" t="str">
            <v>/cantos/resucito/m/magnificat.html</v>
          </cell>
          <cell r="AH135" t="str">
            <v>"},</v>
          </cell>
          <cell r="AI135" t="str">
            <v>m</v>
          </cell>
          <cell r="AJ135" t="str">
            <v>p</v>
          </cell>
          <cell r="AK135" t="str">
            <v>{id:133,title: "magnificatMagníficat", subtitle: "Lucas 1,46-55", category: "PRECATECUMENADO", moments: ["Virgen", "Entrada", "Nuevo Testamento"], url: "/cantos/resucito/m/magnificat.html/cantos/resucito/m/magnificat.html"},</v>
          </cell>
          <cell r="AL135" t="str">
            <v>MAGNÍFICAT</v>
          </cell>
          <cell r="AM135" t="str">
            <v>magníficat</v>
          </cell>
          <cell r="AN135" t="str">
            <v>Lucas 1,46-55</v>
          </cell>
          <cell r="AP135" t="str">
            <v>CANTO</v>
          </cell>
          <cell r="AQ135" t="str">
            <v>MAGNÍFICAT</v>
          </cell>
        </row>
        <row r="136">
          <cell r="A136">
            <v>110</v>
          </cell>
          <cell r="B136" t="str">
            <v>{id:</v>
          </cell>
          <cell r="C136">
            <v>134</v>
          </cell>
          <cell r="D136" t="str">
            <v>,</v>
          </cell>
          <cell r="E136" t="str">
            <v xml:space="preserve">title: </v>
          </cell>
          <cell r="F136" t="str">
            <v>"</v>
          </cell>
          <cell r="G136" t="str">
            <v>mariadejasnagöra</v>
          </cell>
          <cell r="H136" t="str">
            <v>María de Jasna Göra</v>
          </cell>
          <cell r="I136" t="str">
            <v>",</v>
          </cell>
          <cell r="J136" t="str">
            <v xml:space="preserve"> subtitle: </v>
          </cell>
          <cell r="K136" t="str">
            <v>"</v>
          </cell>
          <cell r="L136" t="str">
            <v xml:space="preserve">Himno a la Virgen de Jasna Göra, Częstochowa Polonia (Kiko Argüello) </v>
          </cell>
          <cell r="M136" t="str">
            <v xml:space="preserve">", </v>
          </cell>
          <cell r="N136" t="str">
            <v xml:space="preserve">category: </v>
          </cell>
          <cell r="O136" t="str">
            <v>"</v>
          </cell>
          <cell r="P136" t="str">
            <v>PRECATECUMENADO</v>
          </cell>
          <cell r="Q136" t="str">
            <v>"</v>
          </cell>
          <cell r="R136" t="str">
            <v>, moments: [</v>
          </cell>
          <cell r="S136" t="str">
            <v>"</v>
          </cell>
          <cell r="T136" t="str">
            <v>Virgen</v>
          </cell>
          <cell r="AE136" t="str">
            <v>"], url: "</v>
          </cell>
          <cell r="AF136" t="str">
            <v>/cantos/resucito/m/mariadejasnagöra.html</v>
          </cell>
          <cell r="AG136" t="str">
            <v>/cantos/resucito/m/mariadejasnagöra.html</v>
          </cell>
          <cell r="AH136" t="str">
            <v>"},</v>
          </cell>
          <cell r="AI136" t="str">
            <v>m</v>
          </cell>
          <cell r="AJ136" t="str">
            <v>p</v>
          </cell>
          <cell r="AK136" t="str">
            <v>{id:134,title: "mariadejasnagöraMaría de Jasna Göra", subtitle: "Himno a la Virgen de Jasna Göra, Częstochowa Polonia (Kiko Argüello) ", category: "PRECATECUMENADO", moments: ["Virgen"], url: "/cantos/resucito/m/mariadejasnagöra.html/cantos/resucito/m/mariadejasnagöra.html"},</v>
          </cell>
          <cell r="AL136" t="str">
            <v>MARÍA DE JASNA GÖRA</v>
          </cell>
          <cell r="AM136" t="str">
            <v>maríadejasnagöra</v>
          </cell>
          <cell r="AN136" t="str">
            <v xml:space="preserve">Himno a la Virgen de Jasna Göra, Częstochowa Polonia (Kiko Argüello) </v>
          </cell>
          <cell r="AP136" t="str">
            <v>CANTO</v>
          </cell>
          <cell r="AQ136" t="str">
            <v>MARÍA DE JASNA GÖRA</v>
          </cell>
        </row>
        <row r="137">
          <cell r="A137">
            <v>109</v>
          </cell>
          <cell r="B137" t="str">
            <v>{id:</v>
          </cell>
          <cell r="C137">
            <v>135</v>
          </cell>
          <cell r="D137" t="str">
            <v>,</v>
          </cell>
          <cell r="E137" t="str">
            <v xml:space="preserve">title: </v>
          </cell>
          <cell r="F137" t="str">
            <v>"</v>
          </cell>
          <cell r="G137" t="str">
            <v>mariacasadebendicion</v>
          </cell>
          <cell r="H137" t="str">
            <v>María, casa de bendición</v>
          </cell>
          <cell r="I137" t="str">
            <v>",</v>
          </cell>
          <cell r="J137" t="str">
            <v xml:space="preserve"> subtitle: </v>
          </cell>
          <cell r="K137" t="str">
            <v>"</v>
          </cell>
          <cell r="L137" t="str">
            <v>Juan 2,1–11 – Las Bodas de Caná</v>
          </cell>
          <cell r="M137" t="str">
            <v xml:space="preserve">", </v>
          </cell>
          <cell r="N137" t="str">
            <v xml:space="preserve">category: </v>
          </cell>
          <cell r="O137" t="str">
            <v>"</v>
          </cell>
          <cell r="P137" t="str">
            <v>PRECATECUMENADO</v>
          </cell>
          <cell r="Q137" t="str">
            <v>"</v>
          </cell>
          <cell r="R137" t="str">
            <v>, moments: [</v>
          </cell>
          <cell r="S137" t="str">
            <v>"</v>
          </cell>
          <cell r="T137" t="str">
            <v>Cuaresma</v>
          </cell>
          <cell r="U137" t="str">
            <v>", "</v>
          </cell>
          <cell r="V137" t="str">
            <v>Virgen</v>
          </cell>
          <cell r="W137" t="str">
            <v>", "</v>
          </cell>
          <cell r="X137" t="str">
            <v>Nuevo Testamento</v>
          </cell>
          <cell r="AE137" t="str">
            <v>"], url: "</v>
          </cell>
          <cell r="AF137" t="str">
            <v>/cantos/resucito/m/mariacasadebendicion.html</v>
          </cell>
          <cell r="AG137" t="str">
            <v>/cantos/resucito/m/mariacasadebendicion.html</v>
          </cell>
          <cell r="AH137" t="str">
            <v>"},</v>
          </cell>
          <cell r="AI137" t="str">
            <v>m</v>
          </cell>
          <cell r="AJ137" t="str">
            <v>p</v>
          </cell>
          <cell r="AK137" t="str">
            <v>{id:135,title: "mariacasadebendicionMaría, casa de bendición", subtitle: "Juan 2,1–11 – Las Bodas de Caná", category: "PRECATECUMENADO", moments: ["Cuaresma", "Virgen", "Nuevo Testamento"], url: "/cantos/resucito/m/mariacasadebendicion.html/cantos/resucito/m/mariacasadebendicion.html"},</v>
          </cell>
          <cell r="AL137" t="str">
            <v>MARÍA, CASA DE BENDICIÓN</v>
          </cell>
          <cell r="AM137" t="str">
            <v>maría,casadebendición</v>
          </cell>
          <cell r="AN137" t="str">
            <v>Juan 2,1–11 – Las Bodas de Caná</v>
          </cell>
          <cell r="AP137" t="str">
            <v>CANTO</v>
          </cell>
          <cell r="AQ137" t="str">
            <v>MARÍA, CASA DE BENDICIÓN</v>
          </cell>
        </row>
        <row r="138">
          <cell r="A138">
            <v>111</v>
          </cell>
          <cell r="B138" t="str">
            <v>{id:</v>
          </cell>
          <cell r="C138">
            <v>136</v>
          </cell>
          <cell r="D138" t="str">
            <v>,</v>
          </cell>
          <cell r="E138" t="str">
            <v xml:space="preserve">title: </v>
          </cell>
          <cell r="F138" t="str">
            <v>"</v>
          </cell>
          <cell r="G138" t="str">
            <v>mariamadredelaiglesia</v>
          </cell>
          <cell r="H138" t="str">
            <v>María, madre de la Iglesia</v>
          </cell>
          <cell r="I138" t="str">
            <v>",</v>
          </cell>
          <cell r="J138" t="str">
            <v xml:space="preserve"> subtitle: </v>
          </cell>
          <cell r="K138" t="str">
            <v>"</v>
          </cell>
          <cell r="L138" t="str">
            <v>Juan 19,26-34</v>
          </cell>
          <cell r="M138" t="str">
            <v xml:space="preserve">", </v>
          </cell>
          <cell r="N138" t="str">
            <v xml:space="preserve">category: </v>
          </cell>
          <cell r="O138" t="str">
            <v>"</v>
          </cell>
          <cell r="P138" t="str">
            <v>PRECATECUMENADO</v>
          </cell>
          <cell r="Q138" t="str">
            <v>"</v>
          </cell>
          <cell r="R138" t="str">
            <v>, moments: [</v>
          </cell>
          <cell r="S138" t="str">
            <v>"</v>
          </cell>
          <cell r="T138" t="str">
            <v>Cuaresma</v>
          </cell>
          <cell r="U138" t="str">
            <v>", "</v>
          </cell>
          <cell r="V138" t="str">
            <v>Virgen</v>
          </cell>
          <cell r="AE138" t="str">
            <v>"], url: "</v>
          </cell>
          <cell r="AF138" t="str">
            <v>/cantos/resucito/m/mariamadredelaiglesia.html</v>
          </cell>
          <cell r="AG138" t="str">
            <v>/cantos/resucito/m/mariamadredelaiglesia.html</v>
          </cell>
          <cell r="AH138" t="str">
            <v>"},</v>
          </cell>
          <cell r="AI138" t="str">
            <v>m</v>
          </cell>
          <cell r="AJ138" t="str">
            <v>p</v>
          </cell>
          <cell r="AK138" t="str">
            <v>{id:136,title: "mariamadredelaiglesiaMaría, madre de la Iglesia", subtitle: "Juan 19,26-34", category: "PRECATECUMENADO", moments: ["Cuaresma", "Virgen"], url: "/cantos/resucito/m/mariamadredelaiglesia.html/cantos/resucito/m/mariamadredelaiglesia.html"},</v>
          </cell>
          <cell r="AL138" t="str">
            <v>MARÍA, MADRE DE LA IGLESIA</v>
          </cell>
          <cell r="AM138" t="str">
            <v>maría,madredelaiglesia</v>
          </cell>
          <cell r="AN138" t="str">
            <v>Juan 19,26-34</v>
          </cell>
          <cell r="AP138" t="str">
            <v>CANTO</v>
          </cell>
          <cell r="AQ138" t="str">
            <v>MARÍA, MADRE DE LA IGLESIA</v>
          </cell>
        </row>
        <row r="139">
          <cell r="A139">
            <v>112</v>
          </cell>
          <cell r="B139" t="str">
            <v>{id:</v>
          </cell>
          <cell r="C139">
            <v>137</v>
          </cell>
          <cell r="D139" t="str">
            <v>,</v>
          </cell>
          <cell r="E139" t="str">
            <v xml:space="preserve">title: </v>
          </cell>
          <cell r="F139" t="str">
            <v>"</v>
          </cell>
          <cell r="G139" t="str">
            <v>mariamadredelcaminoardiente</v>
          </cell>
          <cell r="H139" t="str">
            <v>María, madre del camino ardiente</v>
          </cell>
          <cell r="I139" t="str">
            <v>",</v>
          </cell>
          <cell r="J139" t="str">
            <v xml:space="preserve"> subtitle: </v>
          </cell>
          <cell r="K139" t="str">
            <v>"</v>
          </cell>
          <cell r="L139" t="str">
            <v>Himno a la Virgen del Tercer Milenio (Kiko Argüello)</v>
          </cell>
          <cell r="M139" t="str">
            <v xml:space="preserve">", </v>
          </cell>
          <cell r="N139" t="str">
            <v xml:space="preserve">category: </v>
          </cell>
          <cell r="O139" t="str">
            <v>"</v>
          </cell>
          <cell r="P139" t="str">
            <v>PRECATECUMENADO</v>
          </cell>
          <cell r="Q139" t="str">
            <v>"</v>
          </cell>
          <cell r="R139" t="str">
            <v>, moments: [</v>
          </cell>
          <cell r="S139" t="str">
            <v>"</v>
          </cell>
          <cell r="T139" t="str">
            <v>Adviento</v>
          </cell>
          <cell r="U139" t="str">
            <v>", "</v>
          </cell>
          <cell r="V139" t="str">
            <v>Entrada</v>
          </cell>
          <cell r="W139" t="str">
            <v>", "</v>
          </cell>
          <cell r="X139" t="str">
            <v>Antiguo Testamento</v>
          </cell>
          <cell r="AE139" t="str">
            <v>"], url: "</v>
          </cell>
          <cell r="AF139" t="str">
            <v>/cantos/resucito/m/mariamadredelcaminoardiente.html</v>
          </cell>
          <cell r="AG139" t="str">
            <v>/cantos/resucito/m/mariamadredelcaminoardiente.html</v>
          </cell>
          <cell r="AH139" t="str">
            <v>"},</v>
          </cell>
          <cell r="AI139" t="str">
            <v>m</v>
          </cell>
          <cell r="AJ139" t="str">
            <v>p</v>
          </cell>
          <cell r="AK139" t="str">
            <v>{id:137,title: "mariamadredelcaminoardienteMaría, madre del camino ardiente", subtitle: "Himno a la Virgen del Tercer Milenio (Kiko Argüello)", category: "PRECATECUMENADO", moments: ["Adviento", "Entrada", "Antiguo Testamento"], url: "/cantos/resucito/m/mariamadredelcaminoardiente.html/cantos/resucito/m/mariamadredelcaminoardiente.html"},</v>
          </cell>
          <cell r="AL139" t="str">
            <v>MARÍA, MADRE DEL CAMINO ARDIENTE</v>
          </cell>
          <cell r="AM139" t="str">
            <v>maría,madredelcaminoardiente</v>
          </cell>
          <cell r="AN139" t="str">
            <v>Himno a la Virgen del Tercer Milenio (Kiko Argüello)</v>
          </cell>
          <cell r="AP139" t="str">
            <v>CANTO</v>
          </cell>
          <cell r="AQ139" t="str">
            <v>MARÍA, MADRE DEL CAMINO ARDIENTE</v>
          </cell>
        </row>
        <row r="140">
          <cell r="A140">
            <v>113</v>
          </cell>
          <cell r="B140" t="str">
            <v>{id:</v>
          </cell>
          <cell r="C140">
            <v>138</v>
          </cell>
          <cell r="D140" t="str">
            <v>,</v>
          </cell>
          <cell r="E140" t="str">
            <v xml:space="preserve">title: </v>
          </cell>
          <cell r="F140" t="str">
            <v>"</v>
          </cell>
          <cell r="G140" t="str">
            <v>mariapequenamaria</v>
          </cell>
          <cell r="H140" t="str">
            <v>María, pequeña María</v>
          </cell>
          <cell r="I140" t="str">
            <v>",</v>
          </cell>
          <cell r="J140" t="str">
            <v xml:space="preserve"> subtitle: </v>
          </cell>
          <cell r="K140" t="str">
            <v>"</v>
          </cell>
          <cell r="L140" t="str">
            <v>Himno a la Virgen María (Kiko Argüello)</v>
          </cell>
          <cell r="M140" t="str">
            <v xml:space="preserve">", </v>
          </cell>
          <cell r="N140" t="str">
            <v xml:space="preserve">category: </v>
          </cell>
          <cell r="O140" t="str">
            <v>"</v>
          </cell>
          <cell r="P140" t="str">
            <v>PRECATECUMENADO</v>
          </cell>
          <cell r="Q140" t="str">
            <v>"</v>
          </cell>
          <cell r="R140" t="str">
            <v>, moments: [</v>
          </cell>
          <cell r="S140" t="str">
            <v>"</v>
          </cell>
          <cell r="T140" t="str">
            <v>Antiguo Testamento</v>
          </cell>
          <cell r="AE140" t="str">
            <v>"], url: "</v>
          </cell>
          <cell r="AF140" t="str">
            <v>/cantos/resucito/m/mariapequenamaria.html</v>
          </cell>
          <cell r="AG140" t="str">
            <v>/cantos/resucito/m/mariapequenamaria.html</v>
          </cell>
          <cell r="AH140" t="str">
            <v>"},</v>
          </cell>
          <cell r="AI140" t="str">
            <v>m</v>
          </cell>
          <cell r="AJ140" t="str">
            <v>p</v>
          </cell>
          <cell r="AK140" t="str">
            <v>{id:138,title: "mariapequenamariaMaría, pequeña María", subtitle: "Himno a la Virgen María (Kiko Argüello)", category: "PRECATECUMENADO", moments: ["Antiguo Testamento"], url: "/cantos/resucito/m/mariapequenamaria.html/cantos/resucito/m/mariapequenamaria.html"},</v>
          </cell>
          <cell r="AL140" t="str">
            <v>MARÍA, PEQUEÑA MARÍA</v>
          </cell>
          <cell r="AM140" t="str">
            <v>maría,pequeñamaría</v>
          </cell>
          <cell r="AN140" t="str">
            <v>Himno a la Virgen María (Kiko Argüello)</v>
          </cell>
          <cell r="AP140" t="str">
            <v>CANTO</v>
          </cell>
          <cell r="AQ140" t="str">
            <v>MARÍA, PEQUEÑA MARÍA</v>
          </cell>
        </row>
        <row r="141">
          <cell r="A141">
            <v>114</v>
          </cell>
          <cell r="B141" t="str">
            <v>{id:</v>
          </cell>
          <cell r="C141">
            <v>139</v>
          </cell>
          <cell r="D141" t="str">
            <v>,</v>
          </cell>
          <cell r="E141" t="str">
            <v xml:space="preserve">title: </v>
          </cell>
          <cell r="F141" t="str">
            <v>"</v>
          </cell>
          <cell r="G141" t="str">
            <v>meensenaraselcaminodelavida</v>
          </cell>
          <cell r="H141" t="str">
            <v>Me enseñarás el camino de la vida</v>
          </cell>
          <cell r="I141" t="str">
            <v>",</v>
          </cell>
          <cell r="J141" t="str">
            <v xml:space="preserve"> subtitle: </v>
          </cell>
          <cell r="K141" t="str">
            <v>"</v>
          </cell>
          <cell r="L141" t="str">
            <v>Sal 16 (15)</v>
          </cell>
          <cell r="M141" t="str">
            <v xml:space="preserve">", </v>
          </cell>
          <cell r="N141" t="str">
            <v xml:space="preserve">category: </v>
          </cell>
          <cell r="O141" t="str">
            <v>"</v>
          </cell>
          <cell r="P141" t="str">
            <v>PRECATECUMENADO</v>
          </cell>
          <cell r="Q141" t="str">
            <v>"</v>
          </cell>
          <cell r="R141" t="str">
            <v>, moments: [</v>
          </cell>
          <cell r="S141" t="str">
            <v>"</v>
          </cell>
          <cell r="T141" t="str">
            <v>Pascua</v>
          </cell>
          <cell r="U141" t="str">
            <v>", "</v>
          </cell>
          <cell r="V141" t="str">
            <v>Comunión</v>
          </cell>
          <cell r="W141" t="str">
            <v>", "</v>
          </cell>
          <cell r="X141" t="str">
            <v>Antiguo Testamento</v>
          </cell>
          <cell r="AE141" t="str">
            <v>"], url: "</v>
          </cell>
          <cell r="AF141" t="str">
            <v>/cantos/resucito/m/meensenaraselcaminodelavida.html</v>
          </cell>
          <cell r="AG141" t="str">
            <v>/cantos/resucito/m/meensenaraselcaminodelavida.html</v>
          </cell>
          <cell r="AH141" t="str">
            <v>"},</v>
          </cell>
          <cell r="AI141" t="str">
            <v>m</v>
          </cell>
          <cell r="AJ141" t="str">
            <v>p</v>
          </cell>
          <cell r="AK141" t="str">
            <v>{id:139,title: "meensenaraselcaminodelavidaMe enseñarás el camino de la vida", subtitle: "Sal 16 (15)", category: "PRECATECUMENADO", moments: ["Pascua", "Comunión", "Antiguo Testamento"], url: "/cantos/resucito/m/meensenaraselcaminodelavida.html/cantos/resucito/m/meensenaraselcaminodelavida.html"},</v>
          </cell>
          <cell r="AL141" t="str">
            <v>ME ENSEÑARÁS EL CAMINO DE LA VIDA</v>
          </cell>
          <cell r="AM141" t="str">
            <v>meenseñaráselcaminodelavida</v>
          </cell>
          <cell r="AN141" t="str">
            <v>Sal 16 (15)</v>
          </cell>
          <cell r="AP141" t="str">
            <v>CANTO</v>
          </cell>
          <cell r="AQ141" t="str">
            <v>ME ENSEÑARÁS EL CAMINO DE LA VIDA</v>
          </cell>
        </row>
        <row r="142">
          <cell r="A142">
            <v>115</v>
          </cell>
          <cell r="B142" t="str">
            <v>{id:</v>
          </cell>
          <cell r="C142">
            <v>140</v>
          </cell>
          <cell r="D142" t="str">
            <v>,</v>
          </cell>
          <cell r="E142" t="str">
            <v xml:space="preserve">title: </v>
          </cell>
          <cell r="F142" t="str">
            <v>"</v>
          </cell>
          <cell r="G142" t="str">
            <v>mehasseducidosenor</v>
          </cell>
          <cell r="H142" t="str">
            <v>Me has seducido, Señor</v>
          </cell>
          <cell r="I142" t="str">
            <v>",</v>
          </cell>
          <cell r="J142" t="str">
            <v xml:space="preserve"> subtitle: </v>
          </cell>
          <cell r="K142" t="str">
            <v>"</v>
          </cell>
          <cell r="L142" t="str">
            <v>Jeremias 20,7-18</v>
          </cell>
          <cell r="M142" t="str">
            <v xml:space="preserve">", </v>
          </cell>
          <cell r="N142" t="str">
            <v xml:space="preserve">category: </v>
          </cell>
          <cell r="O142" t="str">
            <v>"</v>
          </cell>
          <cell r="P142" t="str">
            <v>PRECATECUMENADO</v>
          </cell>
          <cell r="Q142" t="str">
            <v>"</v>
          </cell>
          <cell r="R142" t="str">
            <v>, moments: [</v>
          </cell>
          <cell r="S142" t="str">
            <v>"</v>
          </cell>
          <cell r="T142" t="str">
            <v>Paz</v>
          </cell>
          <cell r="U142" t="str">
            <v>", "</v>
          </cell>
          <cell r="V142" t="str">
            <v>Antiguo Testamento</v>
          </cell>
          <cell r="AE142" t="str">
            <v>"], url: "</v>
          </cell>
          <cell r="AF142" t="str">
            <v>/cantos/resucito/m/mehasseducidosenor.html</v>
          </cell>
          <cell r="AG142" t="str">
            <v>/cantos/resucito/m/mehasseducidosenor.html</v>
          </cell>
          <cell r="AH142" t="str">
            <v>"},</v>
          </cell>
          <cell r="AI142" t="str">
            <v>m</v>
          </cell>
          <cell r="AJ142" t="str">
            <v>p</v>
          </cell>
          <cell r="AK142" t="str">
            <v>{id:140,title: "mehasseducidosenorMe has seducido, Señor", subtitle: "Jeremias 20,7-18", category: "PRECATECUMENADO", moments: ["Paz", "Antiguo Testamento"], url: "/cantos/resucito/m/mehasseducidosenor.html/cantos/resucito/m/mehasseducidosenor.html"},</v>
          </cell>
          <cell r="AL142" t="str">
            <v>ME HAS SEDUCIDO, SEÑOR</v>
          </cell>
          <cell r="AM142" t="str">
            <v>mehasseducido,señor</v>
          </cell>
          <cell r="AN142" t="str">
            <v>Jeremias 20,7-18</v>
          </cell>
          <cell r="AP142" t="str">
            <v>CANTO</v>
          </cell>
          <cell r="AQ142" t="str">
            <v>ME HAS SEDUCIDO, SEÑOR</v>
          </cell>
        </row>
        <row r="143">
          <cell r="A143">
            <v>243</v>
          </cell>
          <cell r="B143" t="str">
            <v>{id:</v>
          </cell>
          <cell r="C143">
            <v>141</v>
          </cell>
          <cell r="D143" t="str">
            <v>,</v>
          </cell>
          <cell r="E143" t="str">
            <v xml:space="preserve">title: </v>
          </cell>
          <cell r="F143" t="str">
            <v>"</v>
          </cell>
          <cell r="G143" t="str">
            <v>merobasteelcorazon</v>
          </cell>
          <cell r="H143" t="str">
            <v>Me robaste el corazón</v>
          </cell>
          <cell r="I143" t="str">
            <v>",</v>
          </cell>
          <cell r="J143" t="str">
            <v xml:space="preserve"> subtitle: </v>
          </cell>
          <cell r="K143" t="str">
            <v>"</v>
          </cell>
          <cell r="L143" t="str">
            <v>Cantar de los cantares 4,9 - 5,1</v>
          </cell>
          <cell r="M143" t="str">
            <v xml:space="preserve">", </v>
          </cell>
          <cell r="N143" t="str">
            <v xml:space="preserve">category: </v>
          </cell>
          <cell r="O143" t="str">
            <v>"</v>
          </cell>
          <cell r="P143" t="str">
            <v>ELECCIÓN</v>
          </cell>
          <cell r="Q143" t="str">
            <v>"</v>
          </cell>
          <cell r="R143" t="str">
            <v>, moments: [</v>
          </cell>
          <cell r="S143" t="str">
            <v>"</v>
          </cell>
          <cell r="T143" t="str">
            <v>Cuaresma</v>
          </cell>
          <cell r="U143" t="str">
            <v>", "</v>
          </cell>
          <cell r="V143" t="str">
            <v>Laudes/Visperas</v>
          </cell>
          <cell r="W143" t="str">
            <v>", "</v>
          </cell>
          <cell r="X143" t="str">
            <v>Antiguo Testamento</v>
          </cell>
          <cell r="AE143" t="str">
            <v>"], url: "</v>
          </cell>
          <cell r="AF143" t="str">
            <v>/cantos/resucito/m/merobasteelcorazon.html</v>
          </cell>
          <cell r="AG143" t="str">
            <v>/cantos/resucito/m/merobasteelcorazon.html</v>
          </cell>
          <cell r="AH143" t="str">
            <v>"},</v>
          </cell>
          <cell r="AI143" t="str">
            <v>m</v>
          </cell>
          <cell r="AJ143" t="str">
            <v>e</v>
          </cell>
          <cell r="AK143" t="str">
            <v>{id:141,title: "merobasteelcorazonMe robaste el corazón", subtitle: "Cantar de los cantares 4,9 - 5,1", category: "ELECCIÓN", moments: ["Cuaresma", "Laudes/Visperas", "Antiguo Testamento"], url: "/cantos/resucito/m/merobasteelcorazon.html/cantos/resucito/m/merobasteelcorazon.html"},</v>
          </cell>
          <cell r="AL143" t="str">
            <v>ME ROBASTE EL CORAZÓN</v>
          </cell>
          <cell r="AM143" t="str">
            <v>merobasteelcorazón</v>
          </cell>
          <cell r="AN143" t="str">
            <v>Cantar de los cantares 4,9 - 5,1</v>
          </cell>
          <cell r="AP143" t="str">
            <v>CANTO</v>
          </cell>
          <cell r="AQ143" t="str">
            <v>ME ROBASTE EL CORAZÓN</v>
          </cell>
        </row>
        <row r="144">
          <cell r="A144">
            <v>116</v>
          </cell>
          <cell r="B144" t="str">
            <v>{id:</v>
          </cell>
          <cell r="C144">
            <v>142</v>
          </cell>
          <cell r="D144" t="str">
            <v>,</v>
          </cell>
          <cell r="E144" t="str">
            <v xml:space="preserve">title: </v>
          </cell>
          <cell r="F144" t="str">
            <v>"</v>
          </cell>
          <cell r="G144" t="str">
            <v>miradqueestupendo</v>
          </cell>
          <cell r="H144" t="str">
            <v>Mirad qué estupendo</v>
          </cell>
          <cell r="I144" t="str">
            <v>",</v>
          </cell>
          <cell r="J144" t="str">
            <v xml:space="preserve"> subtitle: </v>
          </cell>
          <cell r="K144" t="str">
            <v>"</v>
          </cell>
          <cell r="L144" t="str">
            <v>Sal 133 (132)</v>
          </cell>
          <cell r="M144" t="str">
            <v xml:space="preserve">", </v>
          </cell>
          <cell r="N144" t="str">
            <v xml:space="preserve">category: </v>
          </cell>
          <cell r="O144" t="str">
            <v>"</v>
          </cell>
          <cell r="P144" t="str">
            <v>PRECATECUMENADO</v>
          </cell>
          <cell r="Q144" t="str">
            <v>"</v>
          </cell>
          <cell r="R144" t="str">
            <v>, moments: [</v>
          </cell>
          <cell r="S144" t="str">
            <v>"</v>
          </cell>
          <cell r="T144" t="str">
            <v>Antiguo Testamento</v>
          </cell>
          <cell r="AE144" t="str">
            <v>"], url: "</v>
          </cell>
          <cell r="AF144" t="str">
            <v>/cantos/resucito/m/miradqueestupendo.html</v>
          </cell>
          <cell r="AG144" t="str">
            <v>/cantos/resucito/m/miradqueestupendo.html</v>
          </cell>
          <cell r="AH144" t="str">
            <v>"},</v>
          </cell>
          <cell r="AI144" t="str">
            <v>m</v>
          </cell>
          <cell r="AJ144" t="str">
            <v>p</v>
          </cell>
          <cell r="AK144" t="str">
            <v>{id:142,title: "miradqueestupendoMirad qué estupendo", subtitle: "Sal 133 (132)", category: "PRECATECUMENADO", moments: ["Antiguo Testamento"], url: "/cantos/resucito/m/miradqueestupendo.html/cantos/resucito/m/miradqueestupendo.html"},</v>
          </cell>
          <cell r="AL144" t="str">
            <v>MIRAD QUÉ ESTUPENDO</v>
          </cell>
          <cell r="AM144" t="str">
            <v>miradquéestupendo</v>
          </cell>
          <cell r="AN144" t="str">
            <v>Sal 133 (132)</v>
          </cell>
          <cell r="AP144" t="str">
            <v>CANTO</v>
          </cell>
          <cell r="AQ144" t="str">
            <v>MIRAD QUÉ ESTUPENDO</v>
          </cell>
        </row>
        <row r="145">
          <cell r="A145">
            <v>118</v>
          </cell>
          <cell r="B145" t="str">
            <v>{id:</v>
          </cell>
          <cell r="C145">
            <v>143</v>
          </cell>
          <cell r="D145" t="str">
            <v>,</v>
          </cell>
          <cell r="E145" t="str">
            <v xml:space="preserve">title: </v>
          </cell>
          <cell r="F145" t="str">
            <v>"</v>
          </cell>
          <cell r="G145" t="str">
            <v>misericordiamiamisericordia</v>
          </cell>
          <cell r="H145" t="str">
            <v>Misericordia mía, misericordia</v>
          </cell>
          <cell r="I145" t="str">
            <v>",</v>
          </cell>
          <cell r="J145" t="str">
            <v xml:space="preserve"> subtitle: </v>
          </cell>
          <cell r="K145" t="str">
            <v>"</v>
          </cell>
          <cell r="L145" t="str">
            <v>Sal 51 (50)</v>
          </cell>
          <cell r="M145" t="str">
            <v xml:space="preserve">", </v>
          </cell>
          <cell r="N145" t="str">
            <v xml:space="preserve">category: </v>
          </cell>
          <cell r="O145" t="str">
            <v>"</v>
          </cell>
          <cell r="P145" t="str">
            <v>PRECATECUMENADO</v>
          </cell>
          <cell r="Q145" t="str">
            <v>"</v>
          </cell>
          <cell r="R145" t="str">
            <v>, moments: [</v>
          </cell>
          <cell r="S145" t="str">
            <v>"</v>
          </cell>
          <cell r="T145" t="str">
            <v>Pascua</v>
          </cell>
          <cell r="U145" t="str">
            <v>", "</v>
          </cell>
          <cell r="V145" t="str">
            <v>Comunión</v>
          </cell>
          <cell r="W145" t="str">
            <v>", "</v>
          </cell>
          <cell r="X145" t="str">
            <v>Nuevo Testamento</v>
          </cell>
          <cell r="AE145" t="str">
            <v>"], url: "</v>
          </cell>
          <cell r="AF145" t="str">
            <v>/cantos/resucito/m/misericordiamiamisericordia.html</v>
          </cell>
          <cell r="AG145" t="str">
            <v>/cantos/resucito/m/misericordiamiamisericordia.html</v>
          </cell>
          <cell r="AH145" t="str">
            <v>"},</v>
          </cell>
          <cell r="AI145" t="str">
            <v>m</v>
          </cell>
          <cell r="AJ145" t="str">
            <v>p</v>
          </cell>
          <cell r="AK145" t="str">
            <v>{id:143,title: "misericordiamiamisericordiaMisericordia mía, misericordia", subtitle: "Sal 51 (50)", category: "PRECATECUMENADO", moments: ["Pascua", "Comunión", "Nuevo Testamento"], url: "/cantos/resucito/m/misericordiamiamisericordia.html/cantos/resucito/m/misericordiamiamisericordia.html"},</v>
          </cell>
          <cell r="AL145" t="str">
            <v>MISERICORDIA MÍA, MISERICORDIA</v>
          </cell>
          <cell r="AM145" t="str">
            <v>misericordiamía,misericordia</v>
          </cell>
          <cell r="AN145" t="str">
            <v>Sal 51 (50)</v>
          </cell>
          <cell r="AP145" t="str">
            <v>CANTO</v>
          </cell>
          <cell r="AQ145" t="str">
            <v>MISERICORDIA MÍA, MISERICORDIA</v>
          </cell>
        </row>
        <row r="146">
          <cell r="A146">
            <v>117</v>
          </cell>
          <cell r="B146" t="str">
            <v>{id:</v>
          </cell>
          <cell r="C146">
            <v>144</v>
          </cell>
          <cell r="D146" t="str">
            <v>,</v>
          </cell>
          <cell r="E146" t="str">
            <v xml:space="preserve">title: </v>
          </cell>
          <cell r="F146" t="str">
            <v>"</v>
          </cell>
          <cell r="G146" t="str">
            <v>misericordiadiosmio</v>
          </cell>
          <cell r="H146" t="str">
            <v>Misericordia, Dios mío</v>
          </cell>
          <cell r="I146" t="str">
            <v>",</v>
          </cell>
          <cell r="J146" t="str">
            <v xml:space="preserve"> subtitle: </v>
          </cell>
          <cell r="K146" t="str">
            <v>"</v>
          </cell>
          <cell r="L146" t="str">
            <v>Sal 51(50)</v>
          </cell>
          <cell r="M146" t="str">
            <v xml:space="preserve">", </v>
          </cell>
          <cell r="N146" t="str">
            <v xml:space="preserve">category: </v>
          </cell>
          <cell r="O146" t="str">
            <v>"</v>
          </cell>
          <cell r="P146" t="str">
            <v>PRECATECUMENADO</v>
          </cell>
          <cell r="Q146" t="str">
            <v>"</v>
          </cell>
          <cell r="R146" t="str">
            <v>, moments: [</v>
          </cell>
          <cell r="S146" t="str">
            <v>"</v>
          </cell>
          <cell r="T146" t="str">
            <v>Nuevo Testamento</v>
          </cell>
          <cell r="AE146" t="str">
            <v>"], url: "</v>
          </cell>
          <cell r="AF146" t="str">
            <v>/cantos/resucito/m/misericordiadiosmio.html</v>
          </cell>
          <cell r="AG146" t="str">
            <v>/cantos/resucito/m/misericordiadiosmio.html</v>
          </cell>
          <cell r="AH146" t="str">
            <v>"},</v>
          </cell>
          <cell r="AI146" t="str">
            <v>m</v>
          </cell>
          <cell r="AJ146" t="str">
            <v>p</v>
          </cell>
          <cell r="AK146" t="str">
            <v>{id:144,title: "misericordiadiosmioMisericordia, Dios mío", subtitle: "Sal 51(50)", category: "PRECATECUMENADO", moments: ["Nuevo Testamento"], url: "/cantos/resucito/m/misericordiadiosmio.html/cantos/resucito/m/misericordiadiosmio.html"},</v>
          </cell>
          <cell r="AL146" t="str">
            <v>MISERICORDIA, DIOS MÍO</v>
          </cell>
          <cell r="AM146" t="str">
            <v>misericordia,diosmío</v>
          </cell>
          <cell r="AN146" t="str">
            <v>Sal 51(50)</v>
          </cell>
          <cell r="AP146" t="str">
            <v>CANTO</v>
          </cell>
          <cell r="AQ146" t="str">
            <v>MISERICORDIA, DIOS MÍO</v>
          </cell>
        </row>
        <row r="147">
          <cell r="A147">
            <v>119</v>
          </cell>
          <cell r="B147" t="str">
            <v>{id:</v>
          </cell>
          <cell r="C147">
            <v>145</v>
          </cell>
          <cell r="D147" t="str">
            <v>,</v>
          </cell>
          <cell r="E147" t="str">
            <v xml:space="preserve">title: </v>
          </cell>
          <cell r="F147" t="str">
            <v>"</v>
          </cell>
          <cell r="G147" t="str">
            <v>muchomehanperseguido</v>
          </cell>
          <cell r="H147" t="str">
            <v>Mucho me han perseguido</v>
          </cell>
          <cell r="I147" t="str">
            <v>",</v>
          </cell>
          <cell r="J147" t="str">
            <v xml:space="preserve"> subtitle: </v>
          </cell>
          <cell r="K147" t="str">
            <v>"</v>
          </cell>
          <cell r="L147" t="str">
            <v>Sal 129 (128)</v>
          </cell>
          <cell r="M147" t="str">
            <v xml:space="preserve">", </v>
          </cell>
          <cell r="N147" t="str">
            <v xml:space="preserve">category: </v>
          </cell>
          <cell r="O147" t="str">
            <v>"</v>
          </cell>
          <cell r="P147" t="str">
            <v>PRECATECUMENADO</v>
          </cell>
          <cell r="Q147" t="str">
            <v>"</v>
          </cell>
          <cell r="R147" t="str">
            <v>, moments: [</v>
          </cell>
          <cell r="S147" t="str">
            <v>"</v>
          </cell>
          <cell r="T147" t="str">
            <v>Fracción del Pan</v>
          </cell>
          <cell r="U147" t="str">
            <v>", "</v>
          </cell>
          <cell r="V147" t="str">
            <v>Antiguo Testamento</v>
          </cell>
          <cell r="AE147" t="str">
            <v>"], url: "</v>
          </cell>
          <cell r="AF147" t="str">
            <v>/cantos/resucito/m/muchomehanperseguido.html</v>
          </cell>
          <cell r="AG147" t="str">
            <v>/cantos/resucito/m/muchomehanperseguido.html</v>
          </cell>
          <cell r="AH147" t="str">
            <v>"},</v>
          </cell>
          <cell r="AI147" t="str">
            <v>m</v>
          </cell>
          <cell r="AJ147" t="str">
            <v>p</v>
          </cell>
          <cell r="AK147" t="str">
            <v>{id:145,title: "muchomehanperseguidoMucho me han perseguido", subtitle: "Sal 129 (128)", category: "PRECATECUMENADO", moments: ["Fracción del Pan", "Antiguo Testamento"], url: "/cantos/resucito/m/muchomehanperseguido.html/cantos/resucito/m/muchomehanperseguido.html"},</v>
          </cell>
          <cell r="AL147" t="str">
            <v>MUCHO ME HAN PERSEGUIDO</v>
          </cell>
          <cell r="AM147" t="str">
            <v>muchomehanperseguido</v>
          </cell>
          <cell r="AN147" t="str">
            <v>Sal 129 (128)</v>
          </cell>
          <cell r="AP147" t="str">
            <v>CANTO</v>
          </cell>
          <cell r="AQ147" t="str">
            <v>MUCHO ME HAN PERSEGUIDO</v>
          </cell>
        </row>
        <row r="148">
          <cell r="A148">
            <v>229</v>
          </cell>
          <cell r="B148" t="str">
            <v>{id:</v>
          </cell>
          <cell r="C148">
            <v>146</v>
          </cell>
          <cell r="D148" t="str">
            <v>,</v>
          </cell>
          <cell r="E148" t="str">
            <v xml:space="preserve">title: </v>
          </cell>
          <cell r="F148" t="str">
            <v>"</v>
          </cell>
          <cell r="G148" t="str">
            <v>ningunopuedeserviradossenores</v>
          </cell>
          <cell r="H148" t="str">
            <v>Ninguno puede servir a dos señores</v>
          </cell>
          <cell r="I148" t="str">
            <v>",</v>
          </cell>
          <cell r="J148" t="str">
            <v xml:space="preserve"> subtitle: </v>
          </cell>
          <cell r="K148" t="str">
            <v>"</v>
          </cell>
          <cell r="L148" t="str">
            <v xml:space="preserve">Mateo 6,24-33 </v>
          </cell>
          <cell r="M148" t="str">
            <v xml:space="preserve">", </v>
          </cell>
          <cell r="N148" t="str">
            <v xml:space="preserve">category: </v>
          </cell>
          <cell r="O148" t="str">
            <v>"</v>
          </cell>
          <cell r="P148" t="str">
            <v>CATECUMENADO</v>
          </cell>
          <cell r="Q148" t="str">
            <v>"</v>
          </cell>
          <cell r="R148" t="str">
            <v>, moments: [</v>
          </cell>
          <cell r="S148" t="str">
            <v>"</v>
          </cell>
          <cell r="T148" t="str">
            <v>Comunión</v>
          </cell>
          <cell r="U148" t="str">
            <v>", "</v>
          </cell>
          <cell r="V148" t="str">
            <v>Nuevo Testamento</v>
          </cell>
          <cell r="AE148" t="str">
            <v>"], url: "</v>
          </cell>
          <cell r="AF148" t="str">
            <v>/cantos/resucito/n/ningunopuedeserviradossenores.html</v>
          </cell>
          <cell r="AG148" t="str">
            <v>/cantos/resucito/n/ningunopuedeserviradossenores.html</v>
          </cell>
          <cell r="AH148" t="str">
            <v>"},</v>
          </cell>
          <cell r="AI148" t="str">
            <v>n</v>
          </cell>
          <cell r="AJ148" t="str">
            <v>c</v>
          </cell>
          <cell r="AK148" t="str">
            <v>{id:146,title: "ningunopuedeserviradossenoresNinguno puede servir a dos señores", subtitle: "Mateo 6,24-33 ", category: "CATECUMENADO", moments: ["Comunión", "Nuevo Testamento"], url: "/cantos/resucito/n/ningunopuedeserviradossenores.html/cantos/resucito/n/ningunopuedeserviradossenores.html"},</v>
          </cell>
          <cell r="AL148" t="str">
            <v>NINGUNO PUEDE SERVIR A DOS SEÑORES</v>
          </cell>
          <cell r="AM148" t="str">
            <v>ningunopuedeserviradosseñores</v>
          </cell>
          <cell r="AN148" t="str">
            <v xml:space="preserve">Mateo 6,24-33 </v>
          </cell>
          <cell r="AP148" t="str">
            <v>CANTO</v>
          </cell>
          <cell r="AQ148" t="str">
            <v>NINGUNO PUEDE SERVIR A DOS SEÑORES</v>
          </cell>
        </row>
        <row r="149">
          <cell r="A149">
            <v>120</v>
          </cell>
          <cell r="B149" t="str">
            <v>{id:</v>
          </cell>
          <cell r="C149">
            <v>147</v>
          </cell>
          <cell r="D149" t="str">
            <v>,</v>
          </cell>
          <cell r="E149" t="str">
            <v xml:space="preserve">title: </v>
          </cell>
          <cell r="F149" t="str">
            <v>"</v>
          </cell>
          <cell r="G149" t="str">
            <v>noestaaquiresucito</v>
          </cell>
          <cell r="H149" t="str">
            <v>No está aquí, resucitó</v>
          </cell>
          <cell r="I149" t="str">
            <v>",</v>
          </cell>
          <cell r="J149" t="str">
            <v xml:space="preserve"> subtitle: </v>
          </cell>
          <cell r="K149" t="str">
            <v>"</v>
          </cell>
          <cell r="L149" t="str">
            <v>Mateo 28,1-8</v>
          </cell>
          <cell r="M149" t="str">
            <v xml:space="preserve">", </v>
          </cell>
          <cell r="N149" t="str">
            <v xml:space="preserve">category: </v>
          </cell>
          <cell r="O149" t="str">
            <v>"</v>
          </cell>
          <cell r="P149" t="str">
            <v>PRECATECUMENADO</v>
          </cell>
          <cell r="Q149" t="str">
            <v>"</v>
          </cell>
          <cell r="R149" t="str">
            <v>, moments: [</v>
          </cell>
          <cell r="S149" t="str">
            <v>"</v>
          </cell>
          <cell r="T149" t="str">
            <v>Cuaresma</v>
          </cell>
          <cell r="U149" t="str">
            <v>", "</v>
          </cell>
          <cell r="V149" t="str">
            <v>Antiguo Testamento</v>
          </cell>
          <cell r="AE149" t="str">
            <v>"], url: "</v>
          </cell>
          <cell r="AF149" t="str">
            <v>/cantos/resucito/n/noestaaquiresucito.html</v>
          </cell>
          <cell r="AG149" t="str">
            <v>/cantos/resucito/n/noestaaquiresucito.html</v>
          </cell>
          <cell r="AH149" t="str">
            <v>"},</v>
          </cell>
          <cell r="AI149" t="str">
            <v>n</v>
          </cell>
          <cell r="AJ149" t="str">
            <v>p</v>
          </cell>
          <cell r="AK149" t="str">
            <v>{id:147,title: "noestaaquiresucitoNo está aquí, resucitó", subtitle: "Mateo 28,1-8", category: "PRECATECUMENADO", moments: ["Cuaresma", "Antiguo Testamento"], url: "/cantos/resucito/n/noestaaquiresucito.html/cantos/resucito/n/noestaaquiresucito.html"},</v>
          </cell>
          <cell r="AL149" t="str">
            <v>NO ESTÁ AQUÍ, RESUCITÓ</v>
          </cell>
          <cell r="AM149" t="str">
            <v>noestáaquí,resucitó</v>
          </cell>
          <cell r="AN149" t="str">
            <v>Mateo 28,1-8</v>
          </cell>
          <cell r="AP149" t="str">
            <v>CANTO</v>
          </cell>
          <cell r="AQ149" t="str">
            <v>NO ESTÁ AQUÍ, RESUCITÓ</v>
          </cell>
        </row>
        <row r="150">
          <cell r="A150">
            <v>121</v>
          </cell>
          <cell r="B150" t="str">
            <v>{id:</v>
          </cell>
          <cell r="C150">
            <v>148</v>
          </cell>
          <cell r="D150" t="str">
            <v>,</v>
          </cell>
          <cell r="E150" t="str">
            <v xml:space="preserve">title: </v>
          </cell>
          <cell r="F150" t="str">
            <v>"</v>
          </cell>
          <cell r="G150" t="str">
            <v>nohayenelparecer</v>
          </cell>
          <cell r="H150" t="str">
            <v>No hay en él parecer</v>
          </cell>
          <cell r="I150" t="str">
            <v>",</v>
          </cell>
          <cell r="J150" t="str">
            <v xml:space="preserve"> subtitle: </v>
          </cell>
          <cell r="K150" t="str">
            <v>"</v>
          </cell>
          <cell r="L150" t="str">
            <v>Isaías 53,2ss - Cuarto canto del Siervo de Yahveh</v>
          </cell>
          <cell r="M150" t="str">
            <v xml:space="preserve">", </v>
          </cell>
          <cell r="N150" t="str">
            <v xml:space="preserve">category: </v>
          </cell>
          <cell r="O150" t="str">
            <v>"</v>
          </cell>
          <cell r="P150" t="str">
            <v>PRECATECUMENADO</v>
          </cell>
          <cell r="Q150" t="str">
            <v>"</v>
          </cell>
          <cell r="R150" t="str">
            <v>, moments: [</v>
          </cell>
          <cell r="S150" t="str">
            <v>"</v>
          </cell>
          <cell r="T150" t="str">
            <v>Pascua</v>
          </cell>
          <cell r="U150" t="str">
            <v>", "</v>
          </cell>
          <cell r="V150" t="str">
            <v>Nuevo Testamento</v>
          </cell>
          <cell r="AE150" t="str">
            <v>"], url: "</v>
          </cell>
          <cell r="AF150" t="str">
            <v>/cantos/resucito/n/nohayenelparecer.html</v>
          </cell>
          <cell r="AG150" t="str">
            <v>/cantos/resucito/n/nohayenelparecer.html</v>
          </cell>
          <cell r="AH150" t="str">
            <v>"},</v>
          </cell>
          <cell r="AI150" t="str">
            <v>n</v>
          </cell>
          <cell r="AJ150" t="str">
            <v>p</v>
          </cell>
          <cell r="AK150" t="str">
            <v>{id:148,title: "nohayenelparecerNo hay en él parecer", subtitle: "Isaías 53,2ss - Cuarto canto del Siervo de Yahveh", category: "PRECATECUMENADO", moments: ["Pascua", "Nuevo Testamento"], url: "/cantos/resucito/n/nohayenelparecer.html/cantos/resucito/n/nohayenelparecer.html"},</v>
          </cell>
          <cell r="AL150" t="str">
            <v>NO HAY EN ÉL PARECER</v>
          </cell>
          <cell r="AM150" t="str">
            <v>nohayenélparecer</v>
          </cell>
          <cell r="AN150" t="str">
            <v>Isaías 53,2ss - Cuarto canto del Siervo de Yahveh</v>
          </cell>
          <cell r="AP150" t="str">
            <v>CANTO</v>
          </cell>
          <cell r="AQ150" t="str">
            <v>NO HAY EN ÉL PARECER</v>
          </cell>
        </row>
        <row r="151">
          <cell r="A151">
            <v>230</v>
          </cell>
          <cell r="B151" t="str">
            <v>{id:</v>
          </cell>
          <cell r="C151">
            <v>149</v>
          </cell>
          <cell r="D151" t="str">
            <v>,</v>
          </cell>
          <cell r="E151" t="str">
            <v xml:space="preserve">title: </v>
          </cell>
          <cell r="F151" t="str">
            <v>"</v>
          </cell>
          <cell r="G151" t="str">
            <v>noresistaisalmal</v>
          </cell>
          <cell r="H151" t="str">
            <v>No resistáis al mal</v>
          </cell>
          <cell r="I151" t="str">
            <v>",</v>
          </cell>
          <cell r="J151" t="str">
            <v xml:space="preserve"> subtitle: </v>
          </cell>
          <cell r="K151" t="str">
            <v>"</v>
          </cell>
          <cell r="L151" t="str">
            <v>Mateo 5,38ss</v>
          </cell>
          <cell r="M151" t="str">
            <v xml:space="preserve">", </v>
          </cell>
          <cell r="N151" t="str">
            <v xml:space="preserve">category: </v>
          </cell>
          <cell r="O151" t="str">
            <v>"</v>
          </cell>
          <cell r="P151" t="str">
            <v>CATECUMENADO</v>
          </cell>
          <cell r="Q151" t="str">
            <v>"</v>
          </cell>
          <cell r="R151" t="str">
            <v>, moments: [</v>
          </cell>
          <cell r="S151" t="str">
            <v>"</v>
          </cell>
          <cell r="T151" t="str">
            <v>Adviento</v>
          </cell>
          <cell r="AE151" t="str">
            <v>"], url: "</v>
          </cell>
          <cell r="AF151" t="str">
            <v>/cantos/resucito/n/noresistaisalmal.html</v>
          </cell>
          <cell r="AG151" t="str">
            <v>/cantos/resucito/n/noresistaisalmal.html</v>
          </cell>
          <cell r="AH151" t="str">
            <v>"},</v>
          </cell>
          <cell r="AI151" t="str">
            <v>n</v>
          </cell>
          <cell r="AJ151" t="str">
            <v>c</v>
          </cell>
          <cell r="AK151" t="str">
            <v>{id:149,title: "noresistaisalmalNo resistáis al mal", subtitle: "Mateo 5,38ss", category: "CATECUMENADO", moments: ["Adviento"], url: "/cantos/resucito/n/noresistaisalmal.html/cantos/resucito/n/noresistaisalmal.html"},</v>
          </cell>
          <cell r="AL151" t="str">
            <v>NO RESISTÁIS AL MAL</v>
          </cell>
          <cell r="AM151" t="str">
            <v>noresistáisalmal</v>
          </cell>
          <cell r="AN151" t="str">
            <v>Mateo 5,38ss</v>
          </cell>
          <cell r="AP151" t="str">
            <v>CANTO</v>
          </cell>
          <cell r="AQ151" t="str">
            <v>NO RESISTÁIS AL MAL</v>
          </cell>
        </row>
        <row r="152">
          <cell r="A152">
            <v>231</v>
          </cell>
          <cell r="B152" t="str">
            <v>{id:</v>
          </cell>
          <cell r="C152">
            <v>150</v>
          </cell>
          <cell r="D152" t="str">
            <v>,</v>
          </cell>
          <cell r="E152" t="str">
            <v xml:space="preserve">title: </v>
          </cell>
          <cell r="F152" t="str">
            <v>"</v>
          </cell>
          <cell r="G152" t="str">
            <v>nosufrasporlosmalvados</v>
          </cell>
          <cell r="H152" t="str">
            <v>No sufras por los malvados</v>
          </cell>
          <cell r="I152" t="str">
            <v>",</v>
          </cell>
          <cell r="J152" t="str">
            <v xml:space="preserve"> subtitle: </v>
          </cell>
          <cell r="K152" t="str">
            <v>"</v>
          </cell>
          <cell r="L152" t="str">
            <v>Sal 37 (36)</v>
          </cell>
          <cell r="M152" t="str">
            <v xml:space="preserve">", </v>
          </cell>
          <cell r="N152" t="str">
            <v xml:space="preserve">category: </v>
          </cell>
          <cell r="O152" t="str">
            <v>"</v>
          </cell>
          <cell r="P152" t="str">
            <v>CATECUMENADO</v>
          </cell>
          <cell r="Q152" t="str">
            <v>"</v>
          </cell>
          <cell r="R152" t="str">
            <v>, moments: [</v>
          </cell>
          <cell r="S152" t="str">
            <v>"</v>
          </cell>
          <cell r="T152" t="str">
            <v>Antiguo Testamento</v>
          </cell>
          <cell r="AE152" t="str">
            <v>"], url: "</v>
          </cell>
          <cell r="AF152" t="str">
            <v>/cantos/resucito/n/nosufrasporlosmalvados.html</v>
          </cell>
          <cell r="AG152" t="str">
            <v>/cantos/resucito/n/nosufrasporlosmalvados.html</v>
          </cell>
          <cell r="AH152" t="str">
            <v>"},</v>
          </cell>
          <cell r="AI152" t="str">
            <v>n</v>
          </cell>
          <cell r="AJ152" t="str">
            <v>c</v>
          </cell>
          <cell r="AK152" t="str">
            <v>{id:150,title: "nosufrasporlosmalvadosNo sufras por los malvados", subtitle: "Sal 37 (36)", category: "CATECUMENADO", moments: ["Antiguo Testamento"], url: "/cantos/resucito/n/nosufrasporlosmalvados.html/cantos/resucito/n/nosufrasporlosmalvados.html"},</v>
          </cell>
          <cell r="AL152" t="str">
            <v>NO SUFRAS POR LOS MALVADOS</v>
          </cell>
          <cell r="AM152" t="str">
            <v>nosufrasporlosmalvados</v>
          </cell>
          <cell r="AN152" t="str">
            <v>Sal 37 (36)</v>
          </cell>
          <cell r="AP152" t="str">
            <v>CANTO</v>
          </cell>
          <cell r="AQ152" t="str">
            <v>NO SUFRAS POR LOS MALVADOS</v>
          </cell>
        </row>
        <row r="153">
          <cell r="A153">
            <v>122</v>
          </cell>
          <cell r="B153" t="str">
            <v>{id:</v>
          </cell>
          <cell r="C153">
            <v>151</v>
          </cell>
          <cell r="D153" t="str">
            <v>,</v>
          </cell>
          <cell r="E153" t="str">
            <v xml:space="preserve">title: </v>
          </cell>
          <cell r="F153" t="str">
            <v>"</v>
          </cell>
          <cell r="G153" t="str">
            <v>nolimetangere</v>
          </cell>
          <cell r="H153" t="str">
            <v>Noli me tangere</v>
          </cell>
          <cell r="I153" t="str">
            <v>",</v>
          </cell>
          <cell r="J153" t="str">
            <v xml:space="preserve"> subtitle: </v>
          </cell>
          <cell r="K153" t="str">
            <v>"</v>
          </cell>
          <cell r="L153" t="str">
            <v>Juan 20,15-17</v>
          </cell>
          <cell r="M153" t="str">
            <v xml:space="preserve">", </v>
          </cell>
          <cell r="N153" t="str">
            <v xml:space="preserve">category: </v>
          </cell>
          <cell r="O153" t="str">
            <v>"</v>
          </cell>
          <cell r="P153" t="str">
            <v>PRECATECUMENADO</v>
          </cell>
          <cell r="Q153" t="str">
            <v>"</v>
          </cell>
          <cell r="R153" t="str">
            <v>, moments: [</v>
          </cell>
          <cell r="S153" t="str">
            <v>"</v>
          </cell>
          <cell r="T153" t="str">
            <v>Adviento</v>
          </cell>
          <cell r="U153" t="str">
            <v>", "</v>
          </cell>
          <cell r="V153" t="str">
            <v>Laudes/Visperas</v>
          </cell>
          <cell r="W153" t="str">
            <v>", "</v>
          </cell>
          <cell r="X153" t="str">
            <v>Antiguo Testamento</v>
          </cell>
          <cell r="AE153" t="str">
            <v>"], url: "</v>
          </cell>
          <cell r="AF153" t="str">
            <v>/cantos/resucito/n/nolimetangere.html</v>
          </cell>
          <cell r="AG153" t="str">
            <v>/cantos/resucito/n/nolimetangere.html</v>
          </cell>
          <cell r="AH153" t="str">
            <v>"},</v>
          </cell>
          <cell r="AI153" t="str">
            <v>n</v>
          </cell>
          <cell r="AJ153" t="str">
            <v>p</v>
          </cell>
          <cell r="AK153" t="str">
            <v>{id:151,title: "nolimetangereNoli me tangere", subtitle: "Juan 20,15-17", category: "PRECATECUMENADO", moments: ["Adviento", "Laudes/Visperas", "Antiguo Testamento"], url: "/cantos/resucito/n/nolimetangere.html/cantos/resucito/n/nolimetangere.html"},</v>
          </cell>
          <cell r="AL153" t="str">
            <v>NOLI ME TANGERE</v>
          </cell>
          <cell r="AM153" t="str">
            <v>nolimetangere</v>
          </cell>
          <cell r="AN153" t="str">
            <v>Juan 20,15-17</v>
          </cell>
          <cell r="AP153" t="str">
            <v>CANTO</v>
          </cell>
          <cell r="AQ153" t="str">
            <v>NOLI ME TANGERE</v>
          </cell>
        </row>
        <row r="154">
          <cell r="A154">
            <v>123</v>
          </cell>
          <cell r="B154" t="str">
            <v>{id:</v>
          </cell>
          <cell r="C154">
            <v>152</v>
          </cell>
          <cell r="D154" t="str">
            <v>,</v>
          </cell>
          <cell r="E154" t="str">
            <v xml:space="preserve">title: </v>
          </cell>
          <cell r="F154" t="str">
            <v>"</v>
          </cell>
          <cell r="G154" t="str">
            <v>ohcieloslloveddeloalto</v>
          </cell>
          <cell r="H154" t="str">
            <v>Oh cielos, lloved de lo alto</v>
          </cell>
          <cell r="I154" t="str">
            <v>",</v>
          </cell>
          <cell r="J154" t="str">
            <v xml:space="preserve"> subtitle: </v>
          </cell>
          <cell r="K154" t="str">
            <v>"</v>
          </cell>
          <cell r="L154" t="str">
            <v>Isaías 45,8</v>
          </cell>
          <cell r="M154" t="str">
            <v xml:space="preserve">", </v>
          </cell>
          <cell r="N154" t="str">
            <v xml:space="preserve">category: </v>
          </cell>
          <cell r="O154" t="str">
            <v>"</v>
          </cell>
          <cell r="P154" t="str">
            <v>PRECATECUMENADO</v>
          </cell>
          <cell r="Q154" t="str">
            <v>"</v>
          </cell>
          <cell r="R154" t="str">
            <v>, moments: [</v>
          </cell>
          <cell r="S154" t="str">
            <v>"</v>
          </cell>
          <cell r="T154" t="str">
            <v>Cuaresma</v>
          </cell>
          <cell r="U154" t="str">
            <v>", "</v>
          </cell>
          <cell r="V154" t="str">
            <v>Fracción del Pan</v>
          </cell>
          <cell r="W154" t="str">
            <v>", "</v>
          </cell>
          <cell r="X154" t="str">
            <v>Comunión</v>
          </cell>
          <cell r="AE154" t="str">
            <v>"], url: "</v>
          </cell>
          <cell r="AF154" t="str">
            <v>/cantos/resucito/o/ohcieloslloveddeloalto.html</v>
          </cell>
          <cell r="AG154" t="str">
            <v>/cantos/resucito/o/ohcieloslloveddeloalto.html</v>
          </cell>
          <cell r="AH154" t="str">
            <v>"},</v>
          </cell>
          <cell r="AI154" t="str">
            <v>o</v>
          </cell>
          <cell r="AJ154" t="str">
            <v>p</v>
          </cell>
          <cell r="AK154" t="str">
            <v>{id:152,title: "ohcieloslloveddeloaltoOh cielos, lloved de lo alto", subtitle: "Isaías 45,8", category: "PRECATECUMENADO", moments: ["Cuaresma", "Fracción del Pan", "Comunión"], url: "/cantos/resucito/o/ohcieloslloveddeloalto.html/cantos/resucito/o/ohcieloslloveddeloalto.html"},</v>
          </cell>
          <cell r="AL154" t="str">
            <v>OH CIELOS, LLOVED DE LO ALTO</v>
          </cell>
          <cell r="AM154" t="str">
            <v>ohcielos,lloveddeloalto</v>
          </cell>
          <cell r="AN154" t="str">
            <v>Isaías 45,8</v>
          </cell>
          <cell r="AP154" t="str">
            <v>CANTO</v>
          </cell>
          <cell r="AQ154" t="str">
            <v>OH CIELOS, LLOVED DE LO ALTO</v>
          </cell>
        </row>
        <row r="155">
          <cell r="A155">
            <v>124</v>
          </cell>
          <cell r="B155" t="str">
            <v>{id:</v>
          </cell>
          <cell r="C155">
            <v>153</v>
          </cell>
          <cell r="D155" t="str">
            <v>,</v>
          </cell>
          <cell r="E155" t="str">
            <v xml:space="preserve">title: </v>
          </cell>
          <cell r="F155" t="str">
            <v>"</v>
          </cell>
          <cell r="G155" t="str">
            <v>ohdiosportunombresalvame</v>
          </cell>
          <cell r="H155" t="str">
            <v>Oh Dios, por tu nombre sálvame</v>
          </cell>
          <cell r="I155" t="str">
            <v>",</v>
          </cell>
          <cell r="J155" t="str">
            <v xml:space="preserve"> subtitle: </v>
          </cell>
          <cell r="K155" t="str">
            <v>"</v>
          </cell>
          <cell r="L155" t="str">
            <v>Sal 54 (53)</v>
          </cell>
          <cell r="M155" t="str">
            <v xml:space="preserve">", </v>
          </cell>
          <cell r="N155" t="str">
            <v xml:space="preserve">category: </v>
          </cell>
          <cell r="O155" t="str">
            <v>"</v>
          </cell>
          <cell r="P155" t="str">
            <v>PRECATECUMENADO</v>
          </cell>
          <cell r="Q155" t="str">
            <v>"</v>
          </cell>
          <cell r="R155" t="str">
            <v>, moments: [</v>
          </cell>
          <cell r="S155" t="str">
            <v>"</v>
          </cell>
          <cell r="T155" t="str">
            <v>Pascua</v>
          </cell>
          <cell r="U155" t="str">
            <v>", "</v>
          </cell>
          <cell r="V155" t="str">
            <v>Nuevo Testamento</v>
          </cell>
          <cell r="AE155" t="str">
            <v>"], url: "</v>
          </cell>
          <cell r="AF155" t="str">
            <v>/cantos/resucito/o/ohdiosportunombresalvame.html</v>
          </cell>
          <cell r="AG155" t="str">
            <v>/cantos/resucito/o/ohdiosportunombresalvame.html</v>
          </cell>
          <cell r="AH155" t="str">
            <v>"},</v>
          </cell>
          <cell r="AI155" t="str">
            <v>o</v>
          </cell>
          <cell r="AJ155" t="str">
            <v>p</v>
          </cell>
          <cell r="AK155" t="str">
            <v>{id:153,title: "ohdiosportunombresalvameOh Dios, por tu nombre sálvame", subtitle: "Sal 54 (53)", category: "PRECATECUMENADO", moments: ["Pascua", "Nuevo Testamento"], url: "/cantos/resucito/o/ohdiosportunombresalvame.html/cantos/resucito/o/ohdiosportunombresalvame.html"},</v>
          </cell>
          <cell r="AL155" t="str">
            <v>OH DIOS, POR TU NOMBRE SÁLVAME</v>
          </cell>
          <cell r="AM155" t="str">
            <v>ohdios,portunombresálvame</v>
          </cell>
          <cell r="AN155" t="str">
            <v>Sal 54 (53)</v>
          </cell>
          <cell r="AP155" t="str">
            <v>CANTO</v>
          </cell>
          <cell r="AQ155" t="str">
            <v>OH DIOS, POR TU NOMBRE SÁLVAME</v>
          </cell>
        </row>
        <row r="156">
          <cell r="A156">
            <v>125</v>
          </cell>
          <cell r="B156" t="str">
            <v>{id:</v>
          </cell>
          <cell r="C156">
            <v>154</v>
          </cell>
          <cell r="D156" t="str">
            <v>,</v>
          </cell>
          <cell r="E156" t="str">
            <v xml:space="preserve">title: </v>
          </cell>
          <cell r="F156" t="str">
            <v>"</v>
          </cell>
          <cell r="G156" t="str">
            <v>ohdiostueresmidios</v>
          </cell>
          <cell r="H156" t="str">
            <v>Oh Dios, tú eres mi Dios</v>
          </cell>
          <cell r="I156" t="str">
            <v>",</v>
          </cell>
          <cell r="J156" t="str">
            <v xml:space="preserve"> subtitle: </v>
          </cell>
          <cell r="K156" t="str">
            <v>"</v>
          </cell>
          <cell r="L156" t="str">
            <v>Sal 63 (62)</v>
          </cell>
          <cell r="M156" t="str">
            <v xml:space="preserve">", </v>
          </cell>
          <cell r="N156" t="str">
            <v xml:space="preserve">category: </v>
          </cell>
          <cell r="O156" t="str">
            <v>"</v>
          </cell>
          <cell r="P156" t="str">
            <v>PRECATECUMENADO</v>
          </cell>
          <cell r="Q156" t="str">
            <v>"</v>
          </cell>
          <cell r="R156" t="str">
            <v>, moments: [</v>
          </cell>
          <cell r="S156" t="str">
            <v>"</v>
          </cell>
          <cell r="T156" t="str">
            <v>Antiguo Testamento</v>
          </cell>
          <cell r="AE156" t="str">
            <v>"], url: "</v>
          </cell>
          <cell r="AF156" t="str">
            <v>/cantos/resucito/o/ohdiostueresmidios.html</v>
          </cell>
          <cell r="AG156" t="str">
            <v>/cantos/resucito/o/ohdiostueresmidios.html</v>
          </cell>
          <cell r="AH156" t="str">
            <v>"},</v>
          </cell>
          <cell r="AI156" t="str">
            <v>o</v>
          </cell>
          <cell r="AJ156" t="str">
            <v>p</v>
          </cell>
          <cell r="AK156" t="str">
            <v>{id:154,title: "ohdiostueresmidiosOh Dios, tú eres mi Dios", subtitle: "Sal 63 (62)", category: "PRECATECUMENADO", moments: ["Antiguo Testamento"], url: "/cantos/resucito/o/ohdiostueresmidios.html/cantos/resucito/o/ohdiostueresmidios.html"},</v>
          </cell>
          <cell r="AL156" t="str">
            <v>OH DIOS, TÚ ERES MI DIOS</v>
          </cell>
          <cell r="AM156" t="str">
            <v>ohdios,túeresmidios</v>
          </cell>
          <cell r="AN156" t="str">
            <v>Sal 63 (62)</v>
          </cell>
          <cell r="AP156" t="str">
            <v>CANTO</v>
          </cell>
          <cell r="AQ156" t="str">
            <v>OH DIOS, TÚ ERES MI DIOS</v>
          </cell>
        </row>
        <row r="157">
          <cell r="A157">
            <v>126</v>
          </cell>
          <cell r="B157" t="str">
            <v>{id:</v>
          </cell>
          <cell r="C157">
            <v>155</v>
          </cell>
          <cell r="D157" t="str">
            <v>,</v>
          </cell>
          <cell r="E157" t="str">
            <v xml:space="preserve">title: </v>
          </cell>
          <cell r="F157" t="str">
            <v>"</v>
          </cell>
          <cell r="G157" t="str">
            <v>ohjesusamormio</v>
          </cell>
          <cell r="H157" t="str">
            <v>Oh Jesús, amor mío</v>
          </cell>
          <cell r="I157" t="str">
            <v>",</v>
          </cell>
          <cell r="J157" t="str">
            <v xml:space="preserve"> subtitle: </v>
          </cell>
          <cell r="K157" t="str">
            <v>"</v>
          </cell>
          <cell r="L157" t="str">
            <v>(Kiko Argüello)</v>
          </cell>
          <cell r="M157" t="str">
            <v xml:space="preserve">", </v>
          </cell>
          <cell r="N157" t="str">
            <v xml:space="preserve">category: </v>
          </cell>
          <cell r="O157" t="str">
            <v>"</v>
          </cell>
          <cell r="P157" t="str">
            <v>PRECATECUMENADO</v>
          </cell>
          <cell r="Q157" t="str">
            <v>"</v>
          </cell>
          <cell r="R157" t="str">
            <v>, moments: [</v>
          </cell>
          <cell r="S157" t="str">
            <v>"</v>
          </cell>
          <cell r="T157" t="str">
            <v>Laudes/Visperas</v>
          </cell>
          <cell r="U157" t="str">
            <v>", "</v>
          </cell>
          <cell r="V157" t="str">
            <v>Entrada</v>
          </cell>
          <cell r="W157" t="str">
            <v>", "</v>
          </cell>
          <cell r="X157" t="str">
            <v>Comunión</v>
          </cell>
          <cell r="Y157" t="str">
            <v>", "</v>
          </cell>
          <cell r="Z157" t="str">
            <v>Antiguo Testamento</v>
          </cell>
          <cell r="AE157" t="str">
            <v>"], url: "</v>
          </cell>
          <cell r="AF157" t="str">
            <v>/cantos/resucito/o/ohjesusamormio.html</v>
          </cell>
          <cell r="AG157" t="str">
            <v>/cantos/resucito/o/ohjesusamormio.html</v>
          </cell>
          <cell r="AH157" t="str">
            <v>"},</v>
          </cell>
          <cell r="AI157" t="str">
            <v>o</v>
          </cell>
          <cell r="AJ157" t="str">
            <v>p</v>
          </cell>
          <cell r="AK157" t="str">
            <v>{id:155,title: "ohjesusamormioOh Jesús, amor mío", subtitle: "(Kiko Argüello)", category: "PRECATECUMENADO", moments: ["Laudes/Visperas", "Entrada", "Comunión", "Antiguo Testamento"], url: "/cantos/resucito/o/ohjesusamormio.html/cantos/resucito/o/ohjesusamormio.html"},</v>
          </cell>
          <cell r="AL157" t="str">
            <v>OH JESÚS, AMOR MÍO</v>
          </cell>
          <cell r="AM157" t="str">
            <v>ohjesús,amormío</v>
          </cell>
          <cell r="AN157" t="str">
            <v>(Kiko Argüello)</v>
          </cell>
          <cell r="AP157" t="str">
            <v>CANTO</v>
          </cell>
          <cell r="AQ157" t="str">
            <v>OH JESÚS, AMOR MÍO</v>
          </cell>
        </row>
        <row r="158">
          <cell r="A158">
            <v>127</v>
          </cell>
          <cell r="B158" t="str">
            <v>{id:</v>
          </cell>
          <cell r="C158">
            <v>156</v>
          </cell>
          <cell r="D158" t="str">
            <v>,</v>
          </cell>
          <cell r="E158" t="str">
            <v xml:space="preserve">title: </v>
          </cell>
          <cell r="F158" t="str">
            <v>"</v>
          </cell>
          <cell r="G158" t="str">
            <v>ohmuerte¿dondeestatuvictoria?</v>
          </cell>
          <cell r="H158" t="str">
            <v>Oh muerte, ¿dónde está tu victoria?</v>
          </cell>
          <cell r="I158" t="str">
            <v>",</v>
          </cell>
          <cell r="J158" t="str">
            <v xml:space="preserve"> subtitle: </v>
          </cell>
          <cell r="K158" t="str">
            <v>"</v>
          </cell>
          <cell r="L158" t="str">
            <v>1 Corintios 15</v>
          </cell>
          <cell r="M158" t="str">
            <v xml:space="preserve">", </v>
          </cell>
          <cell r="N158" t="str">
            <v xml:space="preserve">category: </v>
          </cell>
          <cell r="O158" t="str">
            <v>"</v>
          </cell>
          <cell r="P158" t="str">
            <v>PRECATECUMENADO</v>
          </cell>
          <cell r="Q158" t="str">
            <v>"</v>
          </cell>
          <cell r="R158" t="str">
            <v>, moments: [</v>
          </cell>
          <cell r="S158" t="str">
            <v>"</v>
          </cell>
          <cell r="T158" t="str">
            <v>Entrada</v>
          </cell>
          <cell r="U158" t="str">
            <v>", "</v>
          </cell>
          <cell r="V158" t="str">
            <v>Antiguo Testamento</v>
          </cell>
          <cell r="AE158" t="str">
            <v>"], url: "</v>
          </cell>
          <cell r="AF158" t="str">
            <v>/cantos/resucito/o/ohmuerte¿dondeestatuvictoria?.html</v>
          </cell>
          <cell r="AG158" t="str">
            <v>/cantos/resucito/o/ohmuerte¿dondeestatuvictoria?.html</v>
          </cell>
          <cell r="AH158" t="str">
            <v>"},</v>
          </cell>
          <cell r="AI158" t="str">
            <v>o</v>
          </cell>
          <cell r="AJ158" t="str">
            <v>p</v>
          </cell>
          <cell r="AK158" t="str">
            <v>{id:156,title: "ohmuerte¿dondeestatuvictoria?Oh muerte, ¿dónde está tu victoria?", subtitle: "1 Corintios 15", category: "PRECATECUMENADO", moments: ["Entrada", "Antiguo Testamento"], url: "/cantos/resucito/o/ohmuerte¿dondeestatuvictoria?.html/cantos/resucito/o/ohmuerte¿dondeestatuvictoria?.html"},</v>
          </cell>
          <cell r="AL158" t="str">
            <v>OH MUERTE, ¿DÓNDE ESTÁ TU VICTORIA?</v>
          </cell>
          <cell r="AM158" t="str">
            <v>ohmuerte,¿dóndeestátuvictoria?</v>
          </cell>
          <cell r="AN158" t="str">
            <v>1 Corintios 15</v>
          </cell>
          <cell r="AP158" t="str">
            <v>CANTO</v>
          </cell>
          <cell r="AQ158" t="str">
            <v>OH MUERTE, ¿DÓNDE ESTÁ TU VICTORIA?</v>
          </cell>
        </row>
        <row r="159">
          <cell r="A159">
            <v>232</v>
          </cell>
          <cell r="B159" t="str">
            <v>{id:</v>
          </cell>
          <cell r="C159">
            <v>157</v>
          </cell>
          <cell r="D159" t="str">
            <v>,</v>
          </cell>
          <cell r="E159" t="str">
            <v xml:space="preserve">title: </v>
          </cell>
          <cell r="F159" t="str">
            <v>"</v>
          </cell>
          <cell r="G159" t="str">
            <v>ohsenormicorazonyanoesambicioso</v>
          </cell>
          <cell r="H159" t="str">
            <v>Oh Señor, mi corazón ya no es ambicioso</v>
          </cell>
          <cell r="I159" t="str">
            <v>",</v>
          </cell>
          <cell r="J159" t="str">
            <v xml:space="preserve"> subtitle: </v>
          </cell>
          <cell r="K159" t="str">
            <v>"</v>
          </cell>
          <cell r="L159" t="str">
            <v>Sal 131 (130)</v>
          </cell>
          <cell r="M159" t="str">
            <v xml:space="preserve">", </v>
          </cell>
          <cell r="N159" t="str">
            <v xml:space="preserve">category: </v>
          </cell>
          <cell r="O159" t="str">
            <v>"</v>
          </cell>
          <cell r="P159" t="str">
            <v>CATECUMENADO</v>
          </cell>
          <cell r="Q159" t="str">
            <v>"</v>
          </cell>
          <cell r="R159" t="str">
            <v>, moments: [</v>
          </cell>
          <cell r="S159" t="str">
            <v>"</v>
          </cell>
          <cell r="AE159" t="str">
            <v>"], url: "</v>
          </cell>
          <cell r="AF159" t="str">
            <v>/cantos/resucito/o/ohsenormicorazonyanoesambicioso.html</v>
          </cell>
          <cell r="AG159" t="str">
            <v>/cantos/resucito/o/ohsenormicorazonyanoesambicioso.html</v>
          </cell>
          <cell r="AH159" t="str">
            <v>"},</v>
          </cell>
          <cell r="AI159" t="str">
            <v>o</v>
          </cell>
          <cell r="AJ159" t="str">
            <v>c</v>
          </cell>
          <cell r="AK159" t="str">
            <v>{id:157,title: "ohsenormicorazonyanoesambiciosoOh Señor, mi corazón ya no es ambicioso", subtitle: "Sal 131 (130)", category: "CATECUMENADO", moments: [""], url: "/cantos/resucito/o/ohsenormicorazonyanoesambicioso.html/cantos/resucito/o/ohsenormicorazonyanoesambicioso.html"},</v>
          </cell>
          <cell r="AL159" t="str">
            <v>OH SEÑOR, MI CORAZÓN YA NO ES AMBICIOSO</v>
          </cell>
          <cell r="AM159" t="str">
            <v>ohseñor,micorazónyanoesambicioso</v>
          </cell>
          <cell r="AN159" t="str">
            <v>Sal 131 (130)</v>
          </cell>
          <cell r="AP159" t="str">
            <v>CANTO</v>
          </cell>
          <cell r="AQ159" t="str">
            <v>OH SEÑOR, MI CORAZÓN YA NO ES AMBICIOSO</v>
          </cell>
        </row>
        <row r="160">
          <cell r="A160">
            <v>128</v>
          </cell>
          <cell r="B160" t="str">
            <v>{id:</v>
          </cell>
          <cell r="C160">
            <v>158</v>
          </cell>
          <cell r="D160" t="str">
            <v>,</v>
          </cell>
          <cell r="E160" t="str">
            <v xml:space="preserve">title: </v>
          </cell>
          <cell r="F160" t="str">
            <v>"</v>
          </cell>
          <cell r="G160" t="str">
            <v>ohsenornuestrodios</v>
          </cell>
          <cell r="H160" t="str">
            <v>Oh Señor, nuestro Dios</v>
          </cell>
          <cell r="I160" t="str">
            <v>",</v>
          </cell>
          <cell r="J160" t="str">
            <v xml:space="preserve"> subtitle: </v>
          </cell>
          <cell r="K160" t="str">
            <v>"</v>
          </cell>
          <cell r="L160" t="str">
            <v>Salmo 8</v>
          </cell>
          <cell r="M160" t="str">
            <v xml:space="preserve">", </v>
          </cell>
          <cell r="N160" t="str">
            <v xml:space="preserve">category: </v>
          </cell>
          <cell r="O160" t="str">
            <v>"</v>
          </cell>
          <cell r="P160" t="str">
            <v>PRECATECUMENADO</v>
          </cell>
          <cell r="Q160" t="str">
            <v>"</v>
          </cell>
          <cell r="R160" t="str">
            <v>, moments: [</v>
          </cell>
          <cell r="S160" t="str">
            <v>"</v>
          </cell>
          <cell r="T160" t="str">
            <v>Virgen</v>
          </cell>
          <cell r="AE160" t="str">
            <v>"], url: "</v>
          </cell>
          <cell r="AF160" t="str">
            <v>/cantos/resucito/o/ohsenornuestrodios.html</v>
          </cell>
          <cell r="AG160" t="str">
            <v>/cantos/resucito/o/ohsenornuestrodios.html</v>
          </cell>
          <cell r="AH160" t="str">
            <v>"},</v>
          </cell>
          <cell r="AI160" t="str">
            <v>o</v>
          </cell>
          <cell r="AJ160" t="str">
            <v>p</v>
          </cell>
          <cell r="AK160" t="str">
            <v>{id:158,title: "ohsenornuestrodiosOh Señor, nuestro Dios", subtitle: "Salmo 8", category: "PRECATECUMENADO", moments: ["Virgen"], url: "/cantos/resucito/o/ohsenornuestrodios.html/cantos/resucito/o/ohsenornuestrodios.html"},</v>
          </cell>
          <cell r="AL160" t="str">
            <v>OH SEÑOR, NUESTRO DIOS</v>
          </cell>
          <cell r="AM160" t="str">
            <v>ohseñor,nuestrodios</v>
          </cell>
          <cell r="AN160" t="str">
            <v>Salmo 8</v>
          </cell>
          <cell r="AP160" t="str">
            <v>CANTO</v>
          </cell>
          <cell r="AQ160" t="str">
            <v>OH SEÑOR, NUESTRO DIOS</v>
          </cell>
        </row>
        <row r="161">
          <cell r="A161">
            <v>129</v>
          </cell>
          <cell r="B161" t="str">
            <v>{id:</v>
          </cell>
          <cell r="C161">
            <v>159</v>
          </cell>
          <cell r="D161" t="str">
            <v>,</v>
          </cell>
          <cell r="E161" t="str">
            <v xml:space="preserve">title: </v>
          </cell>
          <cell r="F161" t="str">
            <v>"</v>
          </cell>
          <cell r="G161" t="str">
            <v>ostomaredeentrelasnaciones</v>
          </cell>
          <cell r="H161" t="str">
            <v>Os tomaré de entre las naciones</v>
          </cell>
          <cell r="I161" t="str">
            <v>",</v>
          </cell>
          <cell r="J161" t="str">
            <v xml:space="preserve"> subtitle: </v>
          </cell>
          <cell r="K161" t="str">
            <v>"</v>
          </cell>
          <cell r="L161" t="str">
            <v>Ezequiel 36,24-28</v>
          </cell>
          <cell r="M161" t="str">
            <v xml:space="preserve">", </v>
          </cell>
          <cell r="N161" t="str">
            <v xml:space="preserve">category: </v>
          </cell>
          <cell r="O161" t="str">
            <v>"</v>
          </cell>
          <cell r="P161" t="str">
            <v>PRECATECUMENADO</v>
          </cell>
          <cell r="Q161" t="str">
            <v>"</v>
          </cell>
          <cell r="R161" t="str">
            <v>, moments: [</v>
          </cell>
          <cell r="S161" t="str">
            <v>"</v>
          </cell>
          <cell r="T161" t="str">
            <v>Pentecostés</v>
          </cell>
          <cell r="U161" t="str">
            <v>", "</v>
          </cell>
          <cell r="V161" t="str">
            <v>Comunión</v>
          </cell>
          <cell r="AE161" t="str">
            <v>"], url: "</v>
          </cell>
          <cell r="AF161" t="str">
            <v>/cantos/resucito/o/ostomaredeentrelasnaciones.html</v>
          </cell>
          <cell r="AG161" t="str">
            <v>/cantos/resucito/o/ostomaredeentrelasnaciones.html</v>
          </cell>
          <cell r="AH161" t="str">
            <v>"},</v>
          </cell>
          <cell r="AI161" t="str">
            <v>o</v>
          </cell>
          <cell r="AJ161" t="str">
            <v>p</v>
          </cell>
          <cell r="AK161" t="str">
            <v>{id:159,title: "ostomaredeentrelasnacionesOs tomaré de entre las naciones", subtitle: "Ezequiel 36,24-28", category: "PRECATECUMENADO", moments: ["Pentecostés", "Comunión"], url: "/cantos/resucito/o/ostomaredeentrelasnaciones.html/cantos/resucito/o/ostomaredeentrelasnaciones.html"},</v>
          </cell>
          <cell r="AL161" t="str">
            <v>OS TOMARÉ DE ENTRE LAS NACIONES</v>
          </cell>
          <cell r="AM161" t="str">
            <v>ostomarédeentrelasnaciones</v>
          </cell>
          <cell r="AN161" t="str">
            <v>Ezequiel 36,24-28</v>
          </cell>
          <cell r="AP161" t="str">
            <v>CANTO</v>
          </cell>
          <cell r="AQ161" t="str">
            <v>OS TOMARÉ DE ENTRE LAS NACIONES</v>
          </cell>
        </row>
        <row r="162">
          <cell r="A162">
            <v>193</v>
          </cell>
          <cell r="B162" t="str">
            <v>{id:</v>
          </cell>
          <cell r="C162">
            <v>160</v>
          </cell>
          <cell r="D162" t="str">
            <v>,</v>
          </cell>
          <cell r="E162" t="str">
            <v xml:space="preserve">title: </v>
          </cell>
          <cell r="F162" t="str">
            <v>"</v>
          </cell>
          <cell r="G162" t="str">
            <v>padrenuestro</v>
          </cell>
          <cell r="H162" t="str">
            <v>Padre nuestro</v>
          </cell>
          <cell r="I162" t="str">
            <v>",</v>
          </cell>
          <cell r="J162" t="str">
            <v xml:space="preserve"> subtitle: </v>
          </cell>
          <cell r="K162" t="str">
            <v>"</v>
          </cell>
          <cell r="L162" t="str">
            <v>Tiempo de la Elección</v>
          </cell>
          <cell r="M162" t="str">
            <v xml:space="preserve">", </v>
          </cell>
          <cell r="N162" t="str">
            <v xml:space="preserve">category: </v>
          </cell>
          <cell r="O162" t="str">
            <v>"</v>
          </cell>
          <cell r="P162" t="str">
            <v>LITÚRGICOS</v>
          </cell>
          <cell r="Q162" t="str">
            <v>"</v>
          </cell>
          <cell r="R162" t="str">
            <v>, moments: [</v>
          </cell>
          <cell r="S162" t="str">
            <v>"</v>
          </cell>
          <cell r="AE162" t="str">
            <v>"], url: "</v>
          </cell>
          <cell r="AF162" t="str">
            <v>/cantos/resucito/p/padrenuestro.html</v>
          </cell>
          <cell r="AG162" t="str">
            <v>/cantos/resucito/p/padrenuestro.html</v>
          </cell>
          <cell r="AH162" t="str">
            <v>"},</v>
          </cell>
          <cell r="AI162" t="str">
            <v>p</v>
          </cell>
          <cell r="AJ162" t="str">
            <v>l</v>
          </cell>
          <cell r="AK162" t="str">
            <v>{id:160,title: "padrenuestroPadre nuestro", subtitle: "Tiempo de la Elección", category: "LITÚRGICOS", moments: [""], url: "/cantos/resucito/p/padrenuestro.html/cantos/resucito/p/padrenuestro.html"},</v>
          </cell>
          <cell r="AL162" t="str">
            <v>PADRE NUESTRO</v>
          </cell>
          <cell r="AM162" t="str">
            <v>padrenuestro</v>
          </cell>
          <cell r="AN162" t="str">
            <v>Tiempo de la Elección</v>
          </cell>
          <cell r="AP162" t="str">
            <v>CANTO</v>
          </cell>
          <cell r="AQ162" t="str">
            <v>PADRE NUESTRO</v>
          </cell>
        </row>
        <row r="163">
          <cell r="A163">
            <v>130</v>
          </cell>
          <cell r="B163" t="str">
            <v>{id:</v>
          </cell>
          <cell r="C163">
            <v>161</v>
          </cell>
          <cell r="D163" t="str">
            <v>,</v>
          </cell>
          <cell r="E163" t="str">
            <v xml:space="preserve">title: </v>
          </cell>
          <cell r="F163" t="str">
            <v>"</v>
          </cell>
          <cell r="G163" t="str">
            <v>palomaincorrupta</v>
          </cell>
          <cell r="H163" t="str">
            <v>Paloma incorrupta</v>
          </cell>
          <cell r="I163" t="str">
            <v>",</v>
          </cell>
          <cell r="J163" t="str">
            <v xml:space="preserve"> subtitle: </v>
          </cell>
          <cell r="K163" t="str">
            <v>"</v>
          </cell>
          <cell r="L163" t="str">
            <v>Kontákion (Romano el Meloda)</v>
          </cell>
          <cell r="M163" t="str">
            <v xml:space="preserve">", </v>
          </cell>
          <cell r="N163" t="str">
            <v xml:space="preserve">category: </v>
          </cell>
          <cell r="O163" t="str">
            <v>"</v>
          </cell>
          <cell r="P163" t="str">
            <v>PRECATECUMENADO</v>
          </cell>
          <cell r="Q163" t="str">
            <v>"</v>
          </cell>
          <cell r="R163" t="str">
            <v>, moments: [</v>
          </cell>
          <cell r="S163" t="str">
            <v>"</v>
          </cell>
          <cell r="AE163" t="str">
            <v>"], url: "</v>
          </cell>
          <cell r="AF163" t="str">
            <v>/cantos/resucito/p/palomaincorrupta.html</v>
          </cell>
          <cell r="AG163" t="str">
            <v>/cantos/resucito/p/palomaincorrupta.html</v>
          </cell>
          <cell r="AH163" t="str">
            <v>"},</v>
          </cell>
          <cell r="AI163" t="str">
            <v>p</v>
          </cell>
          <cell r="AJ163" t="str">
            <v>p</v>
          </cell>
          <cell r="AK163" t="str">
            <v>{id:161,title: "palomaincorruptaPaloma incorrupta", subtitle: "Kontákion (Romano el Meloda)", category: "PRECATECUMENADO", moments: [""], url: "/cantos/resucito/p/palomaincorrupta.html/cantos/resucito/p/palomaincorrupta.html"},</v>
          </cell>
          <cell r="AL163" t="str">
            <v>PALOMA INCORRUPTA</v>
          </cell>
          <cell r="AM163" t="str">
            <v>palomaincorrupta</v>
          </cell>
          <cell r="AN163" t="str">
            <v>Kontákion (Romano el Meloda)</v>
          </cell>
          <cell r="AP163" t="str">
            <v>CANTO</v>
          </cell>
          <cell r="AQ163" t="str">
            <v>PALOMA INCORRUPTA</v>
          </cell>
        </row>
        <row r="164">
          <cell r="A164">
            <v>131</v>
          </cell>
          <cell r="B164" t="str">
            <v>{id:</v>
          </cell>
          <cell r="C164">
            <v>162</v>
          </cell>
          <cell r="D164" t="str">
            <v>,</v>
          </cell>
          <cell r="E164" t="str">
            <v xml:space="preserve">title: </v>
          </cell>
          <cell r="F164" t="str">
            <v>"</v>
          </cell>
          <cell r="G164" t="str">
            <v>pentecostes</v>
          </cell>
          <cell r="H164" t="str">
            <v>Pentecostés</v>
          </cell>
          <cell r="I164" t="str">
            <v>",</v>
          </cell>
          <cell r="J164" t="str">
            <v xml:space="preserve"> subtitle: </v>
          </cell>
          <cell r="K164" t="str">
            <v>"</v>
          </cell>
          <cell r="L164" t="str">
            <v xml:space="preserve">Hchos de los Apostoles 2,1-13 </v>
          </cell>
          <cell r="M164" t="str">
            <v xml:space="preserve">", </v>
          </cell>
          <cell r="N164" t="str">
            <v xml:space="preserve">category: </v>
          </cell>
          <cell r="O164" t="str">
            <v>"</v>
          </cell>
          <cell r="P164" t="str">
            <v>PRECATECUMENADO</v>
          </cell>
          <cell r="Q164" t="str">
            <v>"</v>
          </cell>
          <cell r="R164" t="str">
            <v>, moments: [</v>
          </cell>
          <cell r="S164" t="str">
            <v>"</v>
          </cell>
          <cell r="AE164" t="str">
            <v>"], url: "</v>
          </cell>
          <cell r="AF164" t="str">
            <v>/cantos/resucito/p/pentecostes.html</v>
          </cell>
          <cell r="AG164" t="str">
            <v>/cantos/resucito/p/pentecostes.html</v>
          </cell>
          <cell r="AH164" t="str">
            <v>"},</v>
          </cell>
          <cell r="AI164" t="str">
            <v>p</v>
          </cell>
          <cell r="AJ164" t="str">
            <v>p</v>
          </cell>
          <cell r="AK164" t="str">
            <v>{id:162,title: "pentecostesPentecostés", subtitle: "Hchos de los Apostoles 2,1-13 ", category: "PRECATECUMENADO", moments: [""], url: "/cantos/resucito/p/pentecostes.html/cantos/resucito/p/pentecostes.html"},</v>
          </cell>
          <cell r="AL164" t="str">
            <v>PENTECOSTÉS</v>
          </cell>
          <cell r="AM164" t="str">
            <v>pentecostés</v>
          </cell>
          <cell r="AN164" t="str">
            <v xml:space="preserve">Hchos de los Apostoles 2,1-13 </v>
          </cell>
          <cell r="AP164" t="str">
            <v>CANTO</v>
          </cell>
          <cell r="AQ164" t="str">
            <v>PENTECOSTÉS</v>
          </cell>
        </row>
        <row r="165">
          <cell r="A165">
            <v>194</v>
          </cell>
          <cell r="B165" t="str">
            <v>{id:</v>
          </cell>
          <cell r="C165">
            <v>163</v>
          </cell>
          <cell r="D165" t="str">
            <v>,</v>
          </cell>
          <cell r="E165" t="str">
            <v xml:space="preserve">title: </v>
          </cell>
          <cell r="F165" t="str">
            <v>"</v>
          </cell>
          <cell r="G165" t="str">
            <v>plegariaeucaristicaii</v>
          </cell>
          <cell r="H165" t="str">
            <v>Plegaria Eucarística II</v>
          </cell>
          <cell r="I165" t="str">
            <v>",</v>
          </cell>
          <cell r="J165" t="str">
            <v xml:space="preserve"> subtitle: </v>
          </cell>
          <cell r="K165" t="str">
            <v>"</v>
          </cell>
          <cell r="L165" t="str">
            <v>Modelo I</v>
          </cell>
          <cell r="M165" t="str">
            <v xml:space="preserve">", </v>
          </cell>
          <cell r="N165" t="str">
            <v xml:space="preserve">category: </v>
          </cell>
          <cell r="O165" t="str">
            <v>"</v>
          </cell>
          <cell r="P165" t="str">
            <v>LITÚRGICOS</v>
          </cell>
          <cell r="Q165" t="str">
            <v>"</v>
          </cell>
          <cell r="R165" t="str">
            <v>, moments: [</v>
          </cell>
          <cell r="S165" t="str">
            <v>"</v>
          </cell>
          <cell r="AE165" t="str">
            <v>"], url: "</v>
          </cell>
          <cell r="AF165" t="str">
            <v>/cantos/resucito/p/plegariaeucaristicaii.html</v>
          </cell>
          <cell r="AG165" t="str">
            <v>/cantos/resucito/p/plegariaeucaristicaii.html</v>
          </cell>
          <cell r="AH165" t="str">
            <v>"},</v>
          </cell>
          <cell r="AI165" t="str">
            <v>p</v>
          </cell>
          <cell r="AJ165" t="str">
            <v>l</v>
          </cell>
          <cell r="AK165" t="str">
            <v>{id:163,title: "plegariaeucaristicaiiPlegaria Eucarística II", subtitle: "Modelo I", category: "LITÚRGICOS", moments: [""], url: "/cantos/resucito/p/plegariaeucaristicaii.html/cantos/resucito/p/plegariaeucaristicaii.html"},</v>
          </cell>
          <cell r="AL165" t="str">
            <v>PLEGARIA EUCARÍSTICA II</v>
          </cell>
          <cell r="AM165" t="str">
            <v>plegariaeucarísticaii</v>
          </cell>
          <cell r="AN165" t="str">
            <v>Modelo I</v>
          </cell>
          <cell r="AP165" t="str">
            <v>CANTO</v>
          </cell>
          <cell r="AQ165" t="str">
            <v>PLEGARIA EUCARÍSTICA II</v>
          </cell>
        </row>
        <row r="166">
          <cell r="A166">
            <v>197</v>
          </cell>
          <cell r="B166" t="str">
            <v>{id:</v>
          </cell>
          <cell r="C166">
            <v>164</v>
          </cell>
          <cell r="D166" t="str">
            <v>,</v>
          </cell>
          <cell r="E166" t="str">
            <v xml:space="preserve">title: </v>
          </cell>
          <cell r="F166" t="str">
            <v>"</v>
          </cell>
          <cell r="G166" t="str">
            <v>plegariaeucaristicaii</v>
          </cell>
          <cell r="H166" t="str">
            <v>Plegaria Eucarística II</v>
          </cell>
          <cell r="I166" t="str">
            <v>",</v>
          </cell>
          <cell r="J166" t="str">
            <v xml:space="preserve"> subtitle: </v>
          </cell>
          <cell r="K166" t="str">
            <v>"</v>
          </cell>
          <cell r="L166" t="str">
            <v>Modelo II (1987)</v>
          </cell>
          <cell r="M166" t="str">
            <v xml:space="preserve">", </v>
          </cell>
          <cell r="N166" t="str">
            <v xml:space="preserve">category: </v>
          </cell>
          <cell r="O166" t="str">
            <v>"</v>
          </cell>
          <cell r="P166" t="str">
            <v>LITÚRGICOS</v>
          </cell>
          <cell r="Q166" t="str">
            <v>"</v>
          </cell>
          <cell r="R166" t="str">
            <v>, moments: [</v>
          </cell>
          <cell r="S166" t="str">
            <v>"</v>
          </cell>
          <cell r="AE166" t="str">
            <v>"], url: "</v>
          </cell>
          <cell r="AF166" t="str">
            <v>/cantos/resucito/p/plegariaeucaristicaii.html</v>
          </cell>
          <cell r="AG166" t="str">
            <v>/cantos/resucito/p/plegariaeucaristicaii.html</v>
          </cell>
          <cell r="AH166" t="str">
            <v>"},</v>
          </cell>
          <cell r="AI166" t="str">
            <v>p</v>
          </cell>
          <cell r="AJ166" t="str">
            <v>l</v>
          </cell>
          <cell r="AK166" t="str">
            <v>{id:164,title: "plegariaeucaristicaiiPlegaria Eucarística II", subtitle: "Modelo II (1987)", category: "LITÚRGICOS", moments: [""], url: "/cantos/resucito/p/plegariaeucaristicaii.html/cantos/resucito/p/plegariaeucaristicaii.html"},</v>
          </cell>
          <cell r="AL166" t="str">
            <v>PLEGARIA EUCARÍSTICA II</v>
          </cell>
          <cell r="AM166" t="str">
            <v>plegariaeucarísticaii</v>
          </cell>
          <cell r="AN166" t="str">
            <v>Modelo II (1987)</v>
          </cell>
          <cell r="AP166" t="str">
            <v>CANTO</v>
          </cell>
          <cell r="AQ166" t="str">
            <v>PLEGARIA EUCARÍSTICA II</v>
          </cell>
        </row>
        <row r="167">
          <cell r="A167">
            <v>200</v>
          </cell>
          <cell r="B167" t="str">
            <v>{id:</v>
          </cell>
          <cell r="C167">
            <v>165</v>
          </cell>
          <cell r="D167" t="str">
            <v>,</v>
          </cell>
          <cell r="E167" t="str">
            <v xml:space="preserve">title: </v>
          </cell>
          <cell r="F167" t="str">
            <v>"</v>
          </cell>
          <cell r="G167" t="str">
            <v>plegariaeucaristicaiv</v>
          </cell>
          <cell r="H167" t="str">
            <v xml:space="preserve">Plegaria Eucarística IV </v>
          </cell>
          <cell r="I167" t="str">
            <v>",</v>
          </cell>
          <cell r="J167" t="str">
            <v xml:space="preserve"> subtitle: </v>
          </cell>
          <cell r="K167" t="str">
            <v>"</v>
          </cell>
          <cell r="L167" t="str">
            <v>(1988)</v>
          </cell>
          <cell r="M167" t="str">
            <v xml:space="preserve">", </v>
          </cell>
          <cell r="N167" t="str">
            <v xml:space="preserve">category: </v>
          </cell>
          <cell r="O167" t="str">
            <v>"</v>
          </cell>
          <cell r="P167" t="str">
            <v>LITÚRGICOS</v>
          </cell>
          <cell r="Q167" t="str">
            <v>"</v>
          </cell>
          <cell r="R167" t="str">
            <v>, moments: [</v>
          </cell>
          <cell r="S167" t="str">
            <v>"</v>
          </cell>
          <cell r="AE167" t="str">
            <v>"], url: "</v>
          </cell>
          <cell r="AF167" t="str">
            <v>/cantos/resucito/p/plegariaeucaristicaiv.html</v>
          </cell>
          <cell r="AG167" t="str">
            <v>/cantos/resucito/p/plegariaeucaristicaiv.html</v>
          </cell>
          <cell r="AH167" t="str">
            <v>"},</v>
          </cell>
          <cell r="AI167" t="str">
            <v>p</v>
          </cell>
          <cell r="AJ167" t="str">
            <v>l</v>
          </cell>
          <cell r="AK167" t="str">
            <v>{id:165,title: "plegariaeucaristicaivPlegaria Eucarística IV ", subtitle: "(1988)", category: "LITÚRGICOS", moments: [""], url: "/cantos/resucito/p/plegariaeucaristicaiv.html/cantos/resucito/p/plegariaeucaristicaiv.html"},</v>
          </cell>
          <cell r="AL167" t="str">
            <v xml:space="preserve">PLEGARIA EUCARÍSTICA IV </v>
          </cell>
          <cell r="AM167" t="str">
            <v>plegariaeucarísticaiv</v>
          </cell>
          <cell r="AN167" t="str">
            <v>(1988)</v>
          </cell>
          <cell r="AP167" t="str">
            <v>CANTO</v>
          </cell>
          <cell r="AQ167" t="str">
            <v xml:space="preserve">PLEGARIA EUCARÍSTICA IV </v>
          </cell>
        </row>
        <row r="168">
          <cell r="A168">
            <v>132</v>
          </cell>
          <cell r="B168" t="str">
            <v>{id:</v>
          </cell>
          <cell r="C168">
            <v>166</v>
          </cell>
          <cell r="D168" t="str">
            <v>,</v>
          </cell>
          <cell r="E168" t="str">
            <v xml:space="preserve">title: </v>
          </cell>
          <cell r="F168" t="str">
            <v>"</v>
          </cell>
          <cell r="G168" t="str">
            <v>porelamordemisamigos</v>
          </cell>
          <cell r="H168" t="str">
            <v>Por el amor de mis amigos</v>
          </cell>
          <cell r="I168" t="str">
            <v>",</v>
          </cell>
          <cell r="J168" t="str">
            <v xml:space="preserve"> subtitle: </v>
          </cell>
          <cell r="K168" t="str">
            <v>"</v>
          </cell>
          <cell r="L168" t="str">
            <v xml:space="preserve">Sal 122 (121) - Melodía hebraica </v>
          </cell>
          <cell r="M168" t="str">
            <v xml:space="preserve">", </v>
          </cell>
          <cell r="N168" t="str">
            <v xml:space="preserve">category: </v>
          </cell>
          <cell r="O168" t="str">
            <v>"</v>
          </cell>
          <cell r="P168" t="str">
            <v>PRECATECUMENADO</v>
          </cell>
          <cell r="Q168" t="str">
            <v>"</v>
          </cell>
          <cell r="R168" t="str">
            <v>, moments: [</v>
          </cell>
          <cell r="S168" t="str">
            <v>"</v>
          </cell>
          <cell r="AE168" t="str">
            <v>"], url: "</v>
          </cell>
          <cell r="AF168" t="str">
            <v>/cantos/resucito/p/porelamordemisamigos.html</v>
          </cell>
          <cell r="AG168" t="str">
            <v>/cantos/resucito/p/porelamordemisamigos.html</v>
          </cell>
          <cell r="AH168" t="str">
            <v>"},</v>
          </cell>
          <cell r="AI168" t="str">
            <v>p</v>
          </cell>
          <cell r="AJ168" t="str">
            <v>p</v>
          </cell>
          <cell r="AK168" t="str">
            <v>{id:166,title: "porelamordemisamigosPor el amor de mis amigos", subtitle: "Sal 122 (121) - Melodía hebraica ", category: "PRECATECUMENADO", moments: [""], url: "/cantos/resucito/p/porelamordemisamigos.html/cantos/resucito/p/porelamordemisamigos.html"},</v>
          </cell>
          <cell r="AL168" t="str">
            <v>POR EL AMOR DE MIS AMIGOS</v>
          </cell>
          <cell r="AM168" t="str">
            <v>porelamordemisamigos</v>
          </cell>
          <cell r="AN168" t="str">
            <v xml:space="preserve">Sal 122 (121) - Melodía hebraica </v>
          </cell>
          <cell r="AP168" t="str">
            <v>CANTO</v>
          </cell>
          <cell r="AQ168" t="str">
            <v>POR EL AMOR DE MIS AMIGOS</v>
          </cell>
        </row>
        <row r="169">
          <cell r="A169">
            <v>133</v>
          </cell>
          <cell r="B169" t="str">
            <v>{id:</v>
          </cell>
          <cell r="C169">
            <v>167</v>
          </cell>
          <cell r="D169" t="str">
            <v>,</v>
          </cell>
          <cell r="E169" t="str">
            <v xml:space="preserve">title: </v>
          </cell>
          <cell r="F169" t="str">
            <v>"</v>
          </cell>
          <cell r="G169" t="str">
            <v>porqueestanocheesdiferente</v>
          </cell>
          <cell r="H169" t="str">
            <v>Por qué esta noche es diferente</v>
          </cell>
          <cell r="I169" t="str">
            <v>",</v>
          </cell>
          <cell r="J169" t="str">
            <v xml:space="preserve"> subtitle: </v>
          </cell>
          <cell r="K169" t="str">
            <v>"</v>
          </cell>
          <cell r="L169" t="str">
            <v>Haggadá de Pesaj - Melodía hebraica</v>
          </cell>
          <cell r="M169" t="str">
            <v xml:space="preserve">", </v>
          </cell>
          <cell r="N169" t="str">
            <v xml:space="preserve">category: </v>
          </cell>
          <cell r="O169" t="str">
            <v>"</v>
          </cell>
          <cell r="P169" t="str">
            <v>PRECATECUMENADO</v>
          </cell>
          <cell r="Q169" t="str">
            <v>"</v>
          </cell>
          <cell r="R169" t="str">
            <v>, moments: [</v>
          </cell>
          <cell r="S169" t="str">
            <v>"</v>
          </cell>
          <cell r="AE169" t="str">
            <v>"], url: "</v>
          </cell>
          <cell r="AF169" t="str">
            <v>/cantos/resucito/p/porqueestanocheesdiferente.html</v>
          </cell>
          <cell r="AG169" t="str">
            <v>/cantos/resucito/p/porqueestanocheesdiferente.html</v>
          </cell>
          <cell r="AH169" t="str">
            <v>"},</v>
          </cell>
          <cell r="AI169" t="str">
            <v>p</v>
          </cell>
          <cell r="AJ169" t="str">
            <v>p</v>
          </cell>
          <cell r="AK169" t="str">
            <v>{id:167,title: "porqueestanocheesdiferentePor qué esta noche es diferente", subtitle: "Haggadá de Pesaj - Melodía hebraica", category: "PRECATECUMENADO", moments: [""], url: "/cantos/resucito/p/porqueestanocheesdiferente.html/cantos/resucito/p/porqueestanocheesdiferente.html"},</v>
          </cell>
          <cell r="AL169" t="str">
            <v>POR QUÉ ESTA NOCHE ES DIFERENTE</v>
          </cell>
          <cell r="AM169" t="str">
            <v>porquéestanocheesdiferente</v>
          </cell>
          <cell r="AN169" t="str">
            <v>Haggadá de Pesaj - Melodía hebraica</v>
          </cell>
          <cell r="AP169" t="str">
            <v>CANTO</v>
          </cell>
          <cell r="AQ169" t="str">
            <v>POR QUÉ ESTA NOCHE ES DIFERENTE</v>
          </cell>
        </row>
        <row r="170">
          <cell r="A170">
            <v>134</v>
          </cell>
          <cell r="B170" t="str">
            <v>{id:</v>
          </cell>
          <cell r="C170">
            <v>168</v>
          </cell>
          <cell r="D170" t="str">
            <v>,</v>
          </cell>
          <cell r="E170" t="str">
            <v xml:space="preserve">title: </v>
          </cell>
          <cell r="F170" t="str">
            <v>"</v>
          </cell>
          <cell r="G170" t="str">
            <v>porquelasgentesconjuran</v>
          </cell>
          <cell r="H170" t="str">
            <v>Por qué las gentes conjuran</v>
          </cell>
          <cell r="I170" t="str">
            <v>",</v>
          </cell>
          <cell r="J170" t="str">
            <v xml:space="preserve"> subtitle: </v>
          </cell>
          <cell r="K170" t="str">
            <v>"</v>
          </cell>
          <cell r="L170" t="str">
            <v>Salmo 2</v>
          </cell>
          <cell r="M170" t="str">
            <v xml:space="preserve">", </v>
          </cell>
          <cell r="N170" t="str">
            <v xml:space="preserve">category: </v>
          </cell>
          <cell r="O170" t="str">
            <v>"</v>
          </cell>
          <cell r="P170" t="str">
            <v>PRECATECUMENADO</v>
          </cell>
          <cell r="Q170" t="str">
            <v>"</v>
          </cell>
          <cell r="R170" t="str">
            <v>, moments: [</v>
          </cell>
          <cell r="S170" t="str">
            <v>"</v>
          </cell>
          <cell r="AE170" t="str">
            <v>"], url: "</v>
          </cell>
          <cell r="AF170" t="str">
            <v>/cantos/resucito/p/porquelasgentesconjuran.html</v>
          </cell>
          <cell r="AG170" t="str">
            <v>/cantos/resucito/p/porquelasgentesconjuran.html</v>
          </cell>
          <cell r="AH170" t="str">
            <v>"},</v>
          </cell>
          <cell r="AI170" t="str">
            <v>p</v>
          </cell>
          <cell r="AJ170" t="str">
            <v>p</v>
          </cell>
          <cell r="AK170" t="str">
            <v>{id:168,title: "porquelasgentesconjuranPor qué las gentes conjuran", subtitle: "Salmo 2", category: "PRECATECUMENADO", moments: [""], url: "/cantos/resucito/p/porquelasgentesconjuran.html/cantos/resucito/p/porquelasgentesconjuran.html"},</v>
          </cell>
          <cell r="AL170" t="str">
            <v>POR QUÉ LAS GENTES CONJURAN</v>
          </cell>
          <cell r="AM170" t="str">
            <v>porquélasgentesconjuran</v>
          </cell>
          <cell r="AN170" t="str">
            <v>Salmo 2</v>
          </cell>
          <cell r="AP170" t="str">
            <v>CANTO</v>
          </cell>
          <cell r="AQ170" t="str">
            <v>POR QUÉ LAS GENTES CONJURAN</v>
          </cell>
        </row>
        <row r="171">
          <cell r="A171">
            <v>135</v>
          </cell>
          <cell r="B171" t="str">
            <v>{id:</v>
          </cell>
          <cell r="C171">
            <v>169</v>
          </cell>
          <cell r="D171" t="str">
            <v>,</v>
          </cell>
          <cell r="E171" t="str">
            <v xml:space="preserve">title: </v>
          </cell>
          <cell r="F171" t="str">
            <v>"</v>
          </cell>
          <cell r="G171" t="str">
            <v>porquemiyugoessuave</v>
          </cell>
          <cell r="H171" t="str">
            <v>Porque mi yugo es suave</v>
          </cell>
          <cell r="I171" t="str">
            <v>",</v>
          </cell>
          <cell r="J171" t="str">
            <v xml:space="preserve"> subtitle: </v>
          </cell>
          <cell r="K171" t="str">
            <v>"</v>
          </cell>
          <cell r="L171" t="str">
            <v>Mateo 11,28ss</v>
          </cell>
          <cell r="M171" t="str">
            <v xml:space="preserve">", </v>
          </cell>
          <cell r="N171" t="str">
            <v xml:space="preserve">category: </v>
          </cell>
          <cell r="O171" t="str">
            <v>"</v>
          </cell>
          <cell r="P171" t="str">
            <v>PRECATECUMENADO</v>
          </cell>
          <cell r="Q171" t="str">
            <v>"</v>
          </cell>
          <cell r="R171" t="str">
            <v>, moments: [</v>
          </cell>
          <cell r="S171" t="str">
            <v>"</v>
          </cell>
          <cell r="AE171" t="str">
            <v>"], url: "</v>
          </cell>
          <cell r="AF171" t="str">
            <v>/cantos/resucito/p/porquemiyugoessuave.html</v>
          </cell>
          <cell r="AG171" t="str">
            <v>/cantos/resucito/p/porquemiyugoessuave.html</v>
          </cell>
          <cell r="AH171" t="str">
            <v>"},</v>
          </cell>
          <cell r="AI171" t="str">
            <v>p</v>
          </cell>
          <cell r="AJ171" t="str">
            <v>p</v>
          </cell>
          <cell r="AK171" t="str">
            <v>{id:169,title: "porquemiyugoessuavePorque mi yugo es suave", subtitle: "Mateo 11,28ss", category: "PRECATECUMENADO", moments: [""], url: "/cantos/resucito/p/porquemiyugoessuave.html/cantos/resucito/p/porquemiyugoessuave.html"},</v>
          </cell>
          <cell r="AL171" t="str">
            <v>PORQUE MI YUGO ES SUAVE</v>
          </cell>
          <cell r="AM171" t="str">
            <v>porquemiyugoessuave</v>
          </cell>
          <cell r="AN171" t="str">
            <v>Mateo 11,28ss</v>
          </cell>
          <cell r="AP171" t="str">
            <v>CANTO</v>
          </cell>
          <cell r="AQ171" t="str">
            <v>PORQUE MI YUGO ES SUAVE</v>
          </cell>
        </row>
        <row r="172">
          <cell r="A172">
            <v>204</v>
          </cell>
          <cell r="B172" t="str">
            <v>{id:</v>
          </cell>
          <cell r="C172">
            <v>170</v>
          </cell>
          <cell r="D172" t="str">
            <v>,</v>
          </cell>
          <cell r="E172" t="str">
            <v xml:space="preserve">title: </v>
          </cell>
          <cell r="F172" t="str">
            <v>"</v>
          </cell>
          <cell r="G172" t="str">
            <v>prefacioparaadvientoynavidad</v>
          </cell>
          <cell r="H172" t="str">
            <v>Prefacio para Adviento y Navidad</v>
          </cell>
          <cell r="I172" t="str">
            <v>",</v>
          </cell>
          <cell r="J172" t="str">
            <v xml:space="preserve"> subtitle: </v>
          </cell>
          <cell r="K172" t="str">
            <v>"</v>
          </cell>
          <cell r="L172" t="str">
            <v>Prefacio IV de Adviento*</v>
          </cell>
          <cell r="M172" t="str">
            <v xml:space="preserve">", </v>
          </cell>
          <cell r="N172" t="str">
            <v xml:space="preserve">category: </v>
          </cell>
          <cell r="O172" t="str">
            <v>"</v>
          </cell>
          <cell r="P172" t="str">
            <v>LITÚRGICOS</v>
          </cell>
          <cell r="Q172" t="str">
            <v>"</v>
          </cell>
          <cell r="R172" t="str">
            <v>, moments: [</v>
          </cell>
          <cell r="S172" t="str">
            <v>"</v>
          </cell>
          <cell r="T172" t="str">
            <v>Paz</v>
          </cell>
          <cell r="U172" t="str">
            <v>", "</v>
          </cell>
          <cell r="V172" t="str">
            <v>Antiguo Testamento</v>
          </cell>
          <cell r="AE172" t="str">
            <v>"], url: "</v>
          </cell>
          <cell r="AF172" t="str">
            <v>/cantos/resucito/p/prefacioparaadvientoynavidad.html</v>
          </cell>
          <cell r="AG172" t="str">
            <v>/cantos/resucito/p/prefacioparaadvientoynavidad.html</v>
          </cell>
          <cell r="AH172" t="str">
            <v>"},</v>
          </cell>
          <cell r="AI172" t="str">
            <v>p</v>
          </cell>
          <cell r="AJ172" t="str">
            <v>l</v>
          </cell>
          <cell r="AK172" t="str">
            <v>{id:170,title: "prefacioparaadvientoynavidadPrefacio para Adviento y Navidad", subtitle: "Prefacio IV de Adviento*", category: "LITÚRGICOS", moments: ["Paz", "Antiguo Testamento"], url: "/cantos/resucito/p/prefacioparaadvientoynavidad.html/cantos/resucito/p/prefacioparaadvientoynavidad.html"},</v>
          </cell>
          <cell r="AL172" t="str">
            <v>PREFACIO PARA ADVIENTO Y NAVIDAD</v>
          </cell>
          <cell r="AM172" t="str">
            <v>prefacioparaadvientoynavidad</v>
          </cell>
          <cell r="AN172" t="str">
            <v>Prefacio IV de Adviento*</v>
          </cell>
          <cell r="AP172" t="str">
            <v>CANTO</v>
          </cell>
          <cell r="AQ172" t="str">
            <v>PREFACIO PARA ADVIENTO Y NAVIDAD</v>
          </cell>
        </row>
        <row r="173">
          <cell r="A173">
            <v>205</v>
          </cell>
          <cell r="B173" t="str">
            <v>{id:</v>
          </cell>
          <cell r="C173">
            <v>171</v>
          </cell>
          <cell r="D173" t="str">
            <v>,</v>
          </cell>
          <cell r="E173" t="str">
            <v xml:space="preserve">title: </v>
          </cell>
          <cell r="F173" t="str">
            <v>"</v>
          </cell>
          <cell r="G173" t="str">
            <v>prefacioparaeltiempopascual</v>
          </cell>
          <cell r="H173" t="str">
            <v>Prefacio para el tiempo Pascual</v>
          </cell>
          <cell r="I173" t="str">
            <v>",</v>
          </cell>
          <cell r="J173" t="str">
            <v xml:space="preserve"> subtitle: </v>
          </cell>
          <cell r="K173" t="str">
            <v>"</v>
          </cell>
          <cell r="L173" t="str">
            <v>Prefacio I de Pascua*</v>
          </cell>
          <cell r="M173" t="str">
            <v xml:space="preserve">", </v>
          </cell>
          <cell r="N173" t="str">
            <v xml:space="preserve">category: </v>
          </cell>
          <cell r="O173" t="str">
            <v>"</v>
          </cell>
          <cell r="P173" t="str">
            <v>LITÚRGICOS</v>
          </cell>
          <cell r="Q173" t="str">
            <v>"</v>
          </cell>
          <cell r="R173" t="str">
            <v>, moments: [</v>
          </cell>
          <cell r="S173" t="str">
            <v>"</v>
          </cell>
          <cell r="T173" t="str">
            <v>Pascua</v>
          </cell>
          <cell r="U173" t="str">
            <v>", "</v>
          </cell>
          <cell r="V173" t="str">
            <v>Niños</v>
          </cell>
          <cell r="W173" t="str">
            <v>", "</v>
          </cell>
          <cell r="X173" t="str">
            <v>Paz</v>
          </cell>
          <cell r="AE173" t="str">
            <v>"], url: "</v>
          </cell>
          <cell r="AF173" t="str">
            <v>/cantos/resucito/p/prefacioparaeltiempopascual.html</v>
          </cell>
          <cell r="AG173" t="str">
            <v>/cantos/resucito/p/prefacioparaeltiempopascual.html</v>
          </cell>
          <cell r="AH173" t="str">
            <v>"},</v>
          </cell>
          <cell r="AI173" t="str">
            <v>p</v>
          </cell>
          <cell r="AJ173" t="str">
            <v>l</v>
          </cell>
          <cell r="AK173" t="str">
            <v>{id:171,title: "prefacioparaeltiempopascualPrefacio para el tiempo Pascual", subtitle: "Prefacio I de Pascua*", category: "LITÚRGICOS", moments: ["Pascua", "Niños", "Paz"], url: "/cantos/resucito/p/prefacioparaeltiempopascual.html/cantos/resucito/p/prefacioparaeltiempopascual.html"},</v>
          </cell>
          <cell r="AL173" t="str">
            <v>PREFACIO PARA EL TIEMPO PASCUAL</v>
          </cell>
          <cell r="AM173" t="str">
            <v>prefacioparaeltiempopascual</v>
          </cell>
          <cell r="AN173" t="str">
            <v>Prefacio I de Pascua*</v>
          </cell>
          <cell r="AP173" t="str">
            <v>CANTO</v>
          </cell>
          <cell r="AQ173" t="str">
            <v>PREFACIO PARA EL TIEMPO PASCUAL</v>
          </cell>
        </row>
        <row r="174">
          <cell r="A174">
            <v>206</v>
          </cell>
          <cell r="B174" t="str">
            <v>{id:</v>
          </cell>
          <cell r="C174">
            <v>172</v>
          </cell>
          <cell r="D174" t="str">
            <v>,</v>
          </cell>
          <cell r="E174" t="str">
            <v xml:space="preserve">title: </v>
          </cell>
          <cell r="F174" t="str">
            <v>"</v>
          </cell>
          <cell r="G174" t="str">
            <v>pregonpascual</v>
          </cell>
          <cell r="H174" t="str">
            <v>Pregón Pascual</v>
          </cell>
          <cell r="I174" t="str">
            <v>",</v>
          </cell>
          <cell r="J174" t="str">
            <v xml:space="preserve"> subtitle: </v>
          </cell>
          <cell r="K174" t="str">
            <v>"</v>
          </cell>
          <cell r="L174" t="str">
            <v>«Exsultet»</v>
          </cell>
          <cell r="M174" t="str">
            <v xml:space="preserve">", </v>
          </cell>
          <cell r="N174" t="str">
            <v xml:space="preserve">category: </v>
          </cell>
          <cell r="O174" t="str">
            <v>"</v>
          </cell>
          <cell r="P174" t="str">
            <v>LITÚRGICOS</v>
          </cell>
          <cell r="Q174" t="str">
            <v>"</v>
          </cell>
          <cell r="R174" t="str">
            <v>, moments: [</v>
          </cell>
          <cell r="S174" t="str">
            <v>"</v>
          </cell>
          <cell r="T174" t="str">
            <v>Cuaresma</v>
          </cell>
          <cell r="U174" t="str">
            <v>", "</v>
          </cell>
          <cell r="V174" t="str">
            <v>Laudes/Visperas</v>
          </cell>
          <cell r="W174" t="str">
            <v>", "</v>
          </cell>
          <cell r="X174" t="str">
            <v>Antiguo Testamento</v>
          </cell>
          <cell r="AE174" t="str">
            <v>"], url: "</v>
          </cell>
          <cell r="AF174" t="str">
            <v>/cantos/resucito/p/pregonpascual.html</v>
          </cell>
          <cell r="AG174" t="str">
            <v>/cantos/resucito/p/pregonpascual.html</v>
          </cell>
          <cell r="AH174" t="str">
            <v>"},</v>
          </cell>
          <cell r="AI174" t="str">
            <v>p</v>
          </cell>
          <cell r="AJ174" t="str">
            <v>l</v>
          </cell>
          <cell r="AK174" t="str">
            <v>{id:172,title: "pregonpascualPregón Pascual", subtitle: "«Exsultet»", category: "LITÚRGICOS", moments: ["Cuaresma", "Laudes/Visperas", "Antiguo Testamento"], url: "/cantos/resucito/p/pregonpascual.html/cantos/resucito/p/pregonpascual.html"},</v>
          </cell>
          <cell r="AL174" t="str">
            <v>PREGÓN PASCUAL</v>
          </cell>
          <cell r="AM174" t="str">
            <v>pregónpascual</v>
          </cell>
          <cell r="AN174" t="str">
            <v>«Exsultet»</v>
          </cell>
          <cell r="AP174" t="str">
            <v>CANTO</v>
          </cell>
          <cell r="AQ174" t="str">
            <v>PREGÓN PASCUAL</v>
          </cell>
        </row>
        <row r="175">
          <cell r="A175">
            <v>136</v>
          </cell>
          <cell r="B175" t="str">
            <v>{id:</v>
          </cell>
          <cell r="C175">
            <v>174</v>
          </cell>
          <cell r="D175" t="str">
            <v>,</v>
          </cell>
          <cell r="E175" t="str">
            <v xml:space="preserve">title: </v>
          </cell>
          <cell r="F175" t="str">
            <v>"</v>
          </cell>
          <cell r="G175" t="str">
            <v>queamablessontusmoradas</v>
          </cell>
          <cell r="H175" t="str">
            <v>Qué amables son tus moradas</v>
          </cell>
          <cell r="I175" t="str">
            <v>",</v>
          </cell>
          <cell r="J175" t="str">
            <v xml:space="preserve"> subtitle: </v>
          </cell>
          <cell r="K175" t="str">
            <v>"</v>
          </cell>
          <cell r="L175" t="str">
            <v>Sal 84 (83)</v>
          </cell>
          <cell r="M175" t="str">
            <v xml:space="preserve">", </v>
          </cell>
          <cell r="N175" t="str">
            <v xml:space="preserve">category: </v>
          </cell>
          <cell r="O175" t="str">
            <v>"</v>
          </cell>
          <cell r="P175" t="str">
            <v>PRECATECUMENADO</v>
          </cell>
          <cell r="Q175" t="str">
            <v>"</v>
          </cell>
          <cell r="R175" t="str">
            <v>, moments: [</v>
          </cell>
          <cell r="S175" t="str">
            <v>"</v>
          </cell>
          <cell r="T175" t="str">
            <v>Cuaresma</v>
          </cell>
          <cell r="U175" t="str">
            <v>", "</v>
          </cell>
          <cell r="V175" t="str">
            <v>Laudes/Visperas</v>
          </cell>
          <cell r="W175" t="str">
            <v>", "</v>
          </cell>
          <cell r="X175" t="str">
            <v>Nuevo Testamento</v>
          </cell>
          <cell r="AE175" t="str">
            <v>"], url: "</v>
          </cell>
          <cell r="AF175" t="str">
            <v>/cantos/resucito/q/queamablessontusmoradas.html</v>
          </cell>
          <cell r="AG175" t="str">
            <v>/cantos/resucito/q/queamablessontusmoradas.html</v>
          </cell>
          <cell r="AH175" t="str">
            <v>"},</v>
          </cell>
          <cell r="AI175" t="str">
            <v>q</v>
          </cell>
          <cell r="AJ175" t="str">
            <v>p</v>
          </cell>
          <cell r="AK175" t="str">
            <v>{id:174,title: "queamablessontusmoradasQué amables son tus moradas", subtitle: "Sal 84 (83)", category: "PRECATECUMENADO", moments: ["Cuaresma", "Laudes/Visperas", "Nuevo Testamento"], url: "/cantos/resucito/q/queamablessontusmoradas.html/cantos/resucito/q/queamablessontusmoradas.html"},</v>
          </cell>
          <cell r="AL175" t="str">
            <v>QUÉ AMABLES SON TUS MORADAS</v>
          </cell>
          <cell r="AM175" t="str">
            <v>quéamablessontusmoradas</v>
          </cell>
          <cell r="AN175" t="str">
            <v>Sal 84 (83)</v>
          </cell>
          <cell r="AP175" t="str">
            <v>CANTO</v>
          </cell>
          <cell r="AQ175" t="str">
            <v>QUÉ AMABLES SON TUS MORADAS</v>
          </cell>
        </row>
        <row r="176">
          <cell r="A176">
            <v>137</v>
          </cell>
          <cell r="B176" t="str">
            <v>{id:</v>
          </cell>
          <cell r="C176">
            <v>175</v>
          </cell>
          <cell r="D176" t="str">
            <v>,</v>
          </cell>
          <cell r="E176" t="str">
            <v xml:space="preserve">title: </v>
          </cell>
          <cell r="F176" t="str">
            <v>"</v>
          </cell>
          <cell r="G176" t="str">
            <v>queestupendoquealegria</v>
          </cell>
          <cell r="H176" t="str">
            <v>Qué estupendo, qué alegría</v>
          </cell>
          <cell r="I176" t="str">
            <v>",</v>
          </cell>
          <cell r="J176" t="str">
            <v xml:space="preserve"> subtitle: </v>
          </cell>
          <cell r="K176" t="str">
            <v>"</v>
          </cell>
          <cell r="L176" t="str">
            <v>Sal 133 (132)</v>
          </cell>
          <cell r="M176" t="str">
            <v xml:space="preserve">", </v>
          </cell>
          <cell r="N176" t="str">
            <v xml:space="preserve">category: </v>
          </cell>
          <cell r="O176" t="str">
            <v>"</v>
          </cell>
          <cell r="P176" t="str">
            <v>PRECATECUMENADO</v>
          </cell>
          <cell r="Q176" t="str">
            <v>"</v>
          </cell>
          <cell r="R176" t="str">
            <v>, moments: [</v>
          </cell>
          <cell r="S176" t="str">
            <v>"</v>
          </cell>
          <cell r="T176" t="str">
            <v>Adviento</v>
          </cell>
          <cell r="U176" t="str">
            <v>", "</v>
          </cell>
          <cell r="V176" t="str">
            <v>Navidad</v>
          </cell>
          <cell r="AE176" t="str">
            <v>"], url: "</v>
          </cell>
          <cell r="AF176" t="str">
            <v>/cantos/resucito/q/queestupendoquealegria.html</v>
          </cell>
          <cell r="AG176" t="str">
            <v>/cantos/resucito/q/queestupendoquealegria.html</v>
          </cell>
          <cell r="AH176" t="str">
            <v>"},</v>
          </cell>
          <cell r="AI176" t="str">
            <v>q</v>
          </cell>
          <cell r="AJ176" t="str">
            <v>p</v>
          </cell>
          <cell r="AK176" t="str">
            <v>{id:175,title: "queestupendoquealegriaQué estupendo, qué alegría", subtitle: "Sal 133 (132)", category: "PRECATECUMENADO", moments: ["Adviento", "Navidad"], url: "/cantos/resucito/q/queestupendoquealegria.html/cantos/resucito/q/queestupendoquealegria.html"},</v>
          </cell>
          <cell r="AL176" t="str">
            <v>QUÉ ESTUPENDO, QUÉ ALEGRÍA</v>
          </cell>
          <cell r="AM176" t="str">
            <v>quéestupendo,quéalegría</v>
          </cell>
          <cell r="AN176" t="str">
            <v>Sal 133 (132)</v>
          </cell>
          <cell r="AP176" t="str">
            <v>CANTO</v>
          </cell>
          <cell r="AQ176" t="str">
            <v>QUÉ ESTUPENDO, QUÉ ALEGRÍA</v>
          </cell>
        </row>
        <row r="177">
          <cell r="A177">
            <v>138</v>
          </cell>
          <cell r="B177" t="str">
            <v>{id:</v>
          </cell>
          <cell r="C177">
            <v>176</v>
          </cell>
          <cell r="D177" t="str">
            <v>,</v>
          </cell>
          <cell r="E177" t="str">
            <v xml:space="preserve">title: </v>
          </cell>
          <cell r="F177" t="str">
            <v>"</v>
          </cell>
          <cell r="G177" t="str">
            <v>quienesestaquesubedeldesierto</v>
          </cell>
          <cell r="H177" t="str">
            <v>Quién es ésta que sube del desierto</v>
          </cell>
          <cell r="I177" t="str">
            <v>",</v>
          </cell>
          <cell r="J177" t="str">
            <v xml:space="preserve"> subtitle: </v>
          </cell>
          <cell r="K177" t="str">
            <v>"</v>
          </cell>
          <cell r="L177" t="str">
            <v>Cantar de los Cantares 8,5-7</v>
          </cell>
          <cell r="M177" t="str">
            <v xml:space="preserve">", </v>
          </cell>
          <cell r="N177" t="str">
            <v xml:space="preserve">category: </v>
          </cell>
          <cell r="O177" t="str">
            <v>"</v>
          </cell>
          <cell r="P177" t="str">
            <v>PRECATECUMENADO</v>
          </cell>
          <cell r="Q177" t="str">
            <v>"</v>
          </cell>
          <cell r="R177" t="str">
            <v>, moments: [</v>
          </cell>
          <cell r="S177" t="str">
            <v>"</v>
          </cell>
          <cell r="T177" t="str">
            <v>Pascua</v>
          </cell>
          <cell r="AE177" t="str">
            <v>"], url: "</v>
          </cell>
          <cell r="AF177" t="str">
            <v>/cantos/resucito/q/quienesestaquesubedeldesierto.html</v>
          </cell>
          <cell r="AG177" t="str">
            <v>/cantos/resucito/q/quienesestaquesubedeldesierto.html</v>
          </cell>
          <cell r="AH177" t="str">
            <v>"},</v>
          </cell>
          <cell r="AI177" t="str">
            <v>q</v>
          </cell>
          <cell r="AJ177" t="str">
            <v>p</v>
          </cell>
          <cell r="AK177" t="str">
            <v>{id:176,title: "quienesestaquesubedeldesiertoQuién es ésta que sube del desierto", subtitle: "Cantar de los Cantares 8,5-7", category: "PRECATECUMENADO", moments: ["Pascua"], url: "/cantos/resucito/q/quienesestaquesubedeldesierto.html/cantos/resucito/q/quienesestaquesubedeldesierto.html"},</v>
          </cell>
          <cell r="AL177" t="str">
            <v>QUIÉN ES ÉSTA QUE SUBE DEL DESIERTO</v>
          </cell>
          <cell r="AM177" t="str">
            <v>quiéneséstaquesubedeldesierto</v>
          </cell>
          <cell r="AN177" t="str">
            <v>Cantar de los Cantares 8,5-7</v>
          </cell>
          <cell r="AP177" t="str">
            <v>CANTO</v>
          </cell>
          <cell r="AQ177" t="str">
            <v>QUIÉN ES ÉSTA QUE SUBE DEL DESIERTO</v>
          </cell>
        </row>
        <row r="178">
          <cell r="A178">
            <v>139</v>
          </cell>
          <cell r="B178" t="str">
            <v>{id:</v>
          </cell>
          <cell r="C178">
            <v>177</v>
          </cell>
          <cell r="D178" t="str">
            <v>,</v>
          </cell>
          <cell r="E178" t="str">
            <v xml:space="preserve">title: </v>
          </cell>
          <cell r="F178" t="str">
            <v>"</v>
          </cell>
          <cell r="G178" t="str">
            <v>quiennosseparara</v>
          </cell>
          <cell r="H178" t="str">
            <v>Quién nos separará</v>
          </cell>
          <cell r="I178" t="str">
            <v>",</v>
          </cell>
          <cell r="J178" t="str">
            <v xml:space="preserve"> subtitle: </v>
          </cell>
          <cell r="K178" t="str">
            <v>"</v>
          </cell>
          <cell r="L178" t="str">
            <v>Romanos 8,34-39</v>
          </cell>
          <cell r="M178" t="str">
            <v xml:space="preserve">", </v>
          </cell>
          <cell r="N178" t="str">
            <v xml:space="preserve">category: </v>
          </cell>
          <cell r="O178" t="str">
            <v>"</v>
          </cell>
          <cell r="P178" t="str">
            <v>PRECATECUMENADO</v>
          </cell>
          <cell r="Q178" t="str">
            <v>"</v>
          </cell>
          <cell r="R178" t="str">
            <v>, moments: [</v>
          </cell>
          <cell r="S178" t="str">
            <v>"</v>
          </cell>
          <cell r="T178" t="str">
            <v>Pascua</v>
          </cell>
          <cell r="AE178" t="str">
            <v>"], url: "</v>
          </cell>
          <cell r="AF178" t="str">
            <v>/cantos/resucito/q/quiennosseparara.html</v>
          </cell>
          <cell r="AG178" t="str">
            <v>/cantos/resucito/q/quiennosseparara.html</v>
          </cell>
          <cell r="AH178" t="str">
            <v>"},</v>
          </cell>
          <cell r="AI178" t="str">
            <v>q</v>
          </cell>
          <cell r="AJ178" t="str">
            <v>p</v>
          </cell>
          <cell r="AK178" t="str">
            <v>{id:177,title: "quiennossepararaQuién nos separará", subtitle: "Romanos 8,34-39", category: "PRECATECUMENADO", moments: ["Pascua"], url: "/cantos/resucito/q/quiennosseparara.html/cantos/resucito/q/quiennosseparara.html"},</v>
          </cell>
          <cell r="AL178" t="str">
            <v>QUIÉN NOS SEPARARÁ</v>
          </cell>
          <cell r="AM178" t="str">
            <v>quiénnosseparará</v>
          </cell>
          <cell r="AN178" t="str">
            <v>Romanos 8,34-39</v>
          </cell>
          <cell r="AP178" t="str">
            <v>CANTO</v>
          </cell>
          <cell r="AQ178" t="str">
            <v>QUIÉN NOS SEPARARÁ</v>
          </cell>
        </row>
        <row r="179">
          <cell r="A179">
            <v>140</v>
          </cell>
          <cell r="B179" t="str">
            <v>{id:</v>
          </cell>
          <cell r="C179">
            <v>178</v>
          </cell>
          <cell r="D179" t="str">
            <v>,</v>
          </cell>
          <cell r="E179" t="str">
            <v xml:space="preserve">title: </v>
          </cell>
          <cell r="F179" t="str">
            <v>"</v>
          </cell>
          <cell r="G179" t="str">
            <v>quieroandarmadreajerusalen</v>
          </cell>
          <cell r="H179" t="str">
            <v>Quiero andar, madre, a Jerusalén</v>
          </cell>
          <cell r="I179" t="str">
            <v>",</v>
          </cell>
          <cell r="J179" t="str">
            <v xml:space="preserve"> subtitle: </v>
          </cell>
          <cell r="K179" t="str">
            <v>"</v>
          </cell>
          <cell r="L179" t="str">
            <v>Canto sefardí</v>
          </cell>
          <cell r="M179" t="str">
            <v xml:space="preserve">", </v>
          </cell>
          <cell r="N179" t="str">
            <v xml:space="preserve">category: </v>
          </cell>
          <cell r="O179" t="str">
            <v>"</v>
          </cell>
          <cell r="P179" t="str">
            <v>PRECATECUMENADO</v>
          </cell>
          <cell r="Q179" t="str">
            <v>"</v>
          </cell>
          <cell r="R179" t="str">
            <v>, moments: [</v>
          </cell>
          <cell r="S179" t="str">
            <v>"</v>
          </cell>
          <cell r="T179" t="str">
            <v>Pascua</v>
          </cell>
          <cell r="AE179" t="str">
            <v>"], url: "</v>
          </cell>
          <cell r="AF179" t="str">
            <v>/cantos/resucito/q/quieroandarmadreajerusalen.html</v>
          </cell>
          <cell r="AG179" t="str">
            <v>/cantos/resucito/q/quieroandarmadreajerusalen.html</v>
          </cell>
          <cell r="AH179" t="str">
            <v>"},</v>
          </cell>
          <cell r="AI179" t="str">
            <v>q</v>
          </cell>
          <cell r="AJ179" t="str">
            <v>p</v>
          </cell>
          <cell r="AK179" t="str">
            <v>{id:178,title: "quieroandarmadreajerusalenQuiero andar, madre, a Jerusalén", subtitle: "Canto sefardí", category: "PRECATECUMENADO", moments: ["Pascua"], url: "/cantos/resucito/q/quieroandarmadreajerusalen.html/cantos/resucito/q/quieroandarmadreajerusalen.html"},</v>
          </cell>
          <cell r="AL179" t="str">
            <v>QUIERO ANDAR, MADRE, A JERUSALÉN</v>
          </cell>
          <cell r="AM179" t="str">
            <v>quieroandar,madre,ajerusalén</v>
          </cell>
          <cell r="AN179" t="str">
            <v>Canto sefardí</v>
          </cell>
          <cell r="AP179" t="str">
            <v>CANTO</v>
          </cell>
          <cell r="AQ179" t="str">
            <v>QUIERO ANDAR, MADRE, A JERUSALÉN</v>
          </cell>
        </row>
        <row r="180">
          <cell r="A180">
            <v>141</v>
          </cell>
          <cell r="B180" t="str">
            <v>{id:</v>
          </cell>
          <cell r="C180">
            <v>179</v>
          </cell>
          <cell r="D180" t="str">
            <v>,</v>
          </cell>
          <cell r="E180" t="str">
            <v xml:space="preserve">title: </v>
          </cell>
          <cell r="F180" t="str">
            <v>"</v>
          </cell>
          <cell r="G180" t="str">
            <v>quierocantar</v>
          </cell>
          <cell r="H180" t="str">
            <v>Quiero cantar</v>
          </cell>
          <cell r="I180" t="str">
            <v>",</v>
          </cell>
          <cell r="J180" t="str">
            <v xml:space="preserve"> subtitle: </v>
          </cell>
          <cell r="K180" t="str">
            <v>"</v>
          </cell>
          <cell r="L180" t="str">
            <v>Sal 57 (56)</v>
          </cell>
          <cell r="M180" t="str">
            <v xml:space="preserve">", </v>
          </cell>
          <cell r="N180" t="str">
            <v xml:space="preserve">category: </v>
          </cell>
          <cell r="O180" t="str">
            <v>"</v>
          </cell>
          <cell r="P180" t="str">
            <v>PRECATECUMENADO</v>
          </cell>
          <cell r="Q180" t="str">
            <v>"</v>
          </cell>
          <cell r="R180" t="str">
            <v>, moments: [</v>
          </cell>
          <cell r="S180" t="str">
            <v>"</v>
          </cell>
          <cell r="T180" t="str">
            <v>Entrada</v>
          </cell>
          <cell r="U180" t="str">
            <v>", "</v>
          </cell>
          <cell r="V180" t="str">
            <v>Antiguo Testamento</v>
          </cell>
          <cell r="AE180" t="str">
            <v>"], url: "</v>
          </cell>
          <cell r="AF180" t="str">
            <v>/cantos/resucito/q/quierocantar.html</v>
          </cell>
          <cell r="AG180" t="str">
            <v>/cantos/resucito/q/quierocantar.html</v>
          </cell>
          <cell r="AH180" t="str">
            <v>"},</v>
          </cell>
          <cell r="AI180" t="str">
            <v>q</v>
          </cell>
          <cell r="AJ180" t="str">
            <v>p</v>
          </cell>
          <cell r="AK180" t="str">
            <v>{id:179,title: "quierocantarQuiero cantar", subtitle: "Sal 57 (56)", category: "PRECATECUMENADO", moments: ["Entrada", "Antiguo Testamento"], url: "/cantos/resucito/q/quierocantar.html/cantos/resucito/q/quierocantar.html"},</v>
          </cell>
          <cell r="AL180" t="str">
            <v>QUIERO CANTAR</v>
          </cell>
          <cell r="AM180" t="str">
            <v>quierocantar</v>
          </cell>
          <cell r="AN180" t="str">
            <v>Sal 57 (56)</v>
          </cell>
          <cell r="AP180" t="str">
            <v>CANTO</v>
          </cell>
          <cell r="AQ180" t="str">
            <v>QUIERO CANTAR</v>
          </cell>
        </row>
        <row r="181">
          <cell r="A181">
            <v>142</v>
          </cell>
          <cell r="B181" t="str">
            <v>{id:</v>
          </cell>
          <cell r="C181">
            <v>180</v>
          </cell>
          <cell r="D181" t="str">
            <v>,</v>
          </cell>
          <cell r="E181" t="str">
            <v xml:space="preserve">title: </v>
          </cell>
          <cell r="F181" t="str">
            <v>"</v>
          </cell>
          <cell r="G181" t="str">
            <v>resucito</v>
          </cell>
          <cell r="H181" t="str">
            <v>Resucitó</v>
          </cell>
          <cell r="I181" t="str">
            <v>",</v>
          </cell>
          <cell r="J181" t="str">
            <v xml:space="preserve"> subtitle: </v>
          </cell>
          <cell r="K181" t="str">
            <v>"</v>
          </cell>
          <cell r="L181" t="str">
            <v>(Kiko Argüello)</v>
          </cell>
          <cell r="M181" t="str">
            <v xml:space="preserve">", </v>
          </cell>
          <cell r="N181" t="str">
            <v xml:space="preserve">category: </v>
          </cell>
          <cell r="O181" t="str">
            <v>"</v>
          </cell>
          <cell r="P181" t="str">
            <v>PRECATECUMENADO</v>
          </cell>
          <cell r="Q181" t="str">
            <v>"</v>
          </cell>
          <cell r="R181" t="str">
            <v>, moments: [</v>
          </cell>
          <cell r="S181" t="str">
            <v>"</v>
          </cell>
          <cell r="T181" t="str">
            <v>Paz</v>
          </cell>
          <cell r="U181" t="str">
            <v>", "</v>
          </cell>
          <cell r="V181" t="str">
            <v>Antiguo Testamento</v>
          </cell>
          <cell r="AE181" t="str">
            <v>"], url: "</v>
          </cell>
          <cell r="AF181" t="str">
            <v>/cantos/resucito/r/resucito.html</v>
          </cell>
          <cell r="AG181" t="str">
            <v>/cantos/resucito/r/resucito.html</v>
          </cell>
          <cell r="AH181" t="str">
            <v>"},</v>
          </cell>
          <cell r="AI181" t="str">
            <v>r</v>
          </cell>
          <cell r="AJ181" t="str">
            <v>p</v>
          </cell>
          <cell r="AK181" t="str">
            <v>{id:180,title: "resucitoResucitó", subtitle: "(Kiko Argüello)", category: "PRECATECUMENADO", moments: ["Paz", "Antiguo Testamento"], url: "/cantos/resucito/r/resucito.html/cantos/resucito/r/resucito.html"},</v>
          </cell>
          <cell r="AL181" t="str">
            <v>RESUCITÓ</v>
          </cell>
          <cell r="AM181" t="str">
            <v>resucitó</v>
          </cell>
          <cell r="AN181" t="str">
            <v>(Kiko Argüello)</v>
          </cell>
          <cell r="AP181" t="str">
            <v>CANTO</v>
          </cell>
          <cell r="AQ181" t="str">
            <v>RESUCITÓ</v>
          </cell>
        </row>
        <row r="182">
          <cell r="A182">
            <v>143</v>
          </cell>
          <cell r="B182" t="str">
            <v>{id:</v>
          </cell>
          <cell r="C182">
            <v>181</v>
          </cell>
          <cell r="D182" t="str">
            <v>,</v>
          </cell>
          <cell r="E182" t="str">
            <v xml:space="preserve">title: </v>
          </cell>
          <cell r="F182" t="str">
            <v>"</v>
          </cell>
          <cell r="G182" t="str">
            <v>resurrexit</v>
          </cell>
          <cell r="H182" t="str">
            <v>Resurrexit</v>
          </cell>
          <cell r="I182" t="str">
            <v>",</v>
          </cell>
          <cell r="J182" t="str">
            <v xml:space="preserve"> subtitle: </v>
          </cell>
          <cell r="K182" t="str">
            <v>"</v>
          </cell>
          <cell r="L182" t="str">
            <v>Juan 11,25s</v>
          </cell>
          <cell r="M182" t="str">
            <v xml:space="preserve">", </v>
          </cell>
          <cell r="N182" t="str">
            <v xml:space="preserve">category: </v>
          </cell>
          <cell r="O182" t="str">
            <v>"</v>
          </cell>
          <cell r="P182" t="str">
            <v>PRECATECUMENADO</v>
          </cell>
          <cell r="Q182" t="str">
            <v>"</v>
          </cell>
          <cell r="R182" t="str">
            <v>, moments: [</v>
          </cell>
          <cell r="S182" t="str">
            <v>"</v>
          </cell>
          <cell r="T182" t="str">
            <v>Comunión</v>
          </cell>
          <cell r="U182" t="str">
            <v>", "</v>
          </cell>
          <cell r="V182" t="str">
            <v>Final</v>
          </cell>
          <cell r="W182" t="str">
            <v>", "</v>
          </cell>
          <cell r="X182" t="str">
            <v>Antiguo Testamento</v>
          </cell>
          <cell r="AE182" t="str">
            <v>"], url: "</v>
          </cell>
          <cell r="AF182" t="str">
            <v>/cantos/resucito/r/resurrexit.html</v>
          </cell>
          <cell r="AG182" t="str">
            <v>/cantos/resucito/r/resurrexit.html</v>
          </cell>
          <cell r="AH182" t="str">
            <v>"},</v>
          </cell>
          <cell r="AI182" t="str">
            <v>r</v>
          </cell>
          <cell r="AJ182" t="str">
            <v>p</v>
          </cell>
          <cell r="AK182" t="str">
            <v>{id:181,title: "resurrexitResurrexit", subtitle: "Juan 11,25s", category: "PRECATECUMENADO", moments: ["Comunión", "Final", "Antiguo Testamento"], url: "/cantos/resucito/r/resurrexit.html/cantos/resucito/r/resurrexit.html"},</v>
          </cell>
          <cell r="AL182" t="str">
            <v>RESURREXIT</v>
          </cell>
          <cell r="AM182" t="str">
            <v>resurrexit</v>
          </cell>
          <cell r="AN182" t="str">
            <v>Juan 11,25s</v>
          </cell>
          <cell r="AP182" t="str">
            <v>CANTO</v>
          </cell>
          <cell r="AQ182" t="str">
            <v>RESURREXIT</v>
          </cell>
        </row>
        <row r="183">
          <cell r="A183">
            <v>208</v>
          </cell>
          <cell r="B183" t="str">
            <v>{id:</v>
          </cell>
          <cell r="C183">
            <v>182</v>
          </cell>
          <cell r="D183" t="str">
            <v>,</v>
          </cell>
          <cell r="E183" t="str">
            <v xml:space="preserve">title: </v>
          </cell>
          <cell r="F183" t="str">
            <v>"</v>
          </cell>
          <cell r="G183" t="str">
            <v>salmodiaparaelevangelio</v>
          </cell>
          <cell r="H183" t="str">
            <v>Salmodia para el evangelio</v>
          </cell>
          <cell r="I183" t="str">
            <v>",</v>
          </cell>
          <cell r="J183" t="str">
            <v xml:space="preserve"> subtitle: </v>
          </cell>
          <cell r="K183" t="str">
            <v>"</v>
          </cell>
          <cell r="L183" t="str">
            <v xml:space="preserve">Juan 3,11-20 </v>
          </cell>
          <cell r="M183" t="str">
            <v xml:space="preserve">", </v>
          </cell>
          <cell r="N183" t="str">
            <v xml:space="preserve">category: </v>
          </cell>
          <cell r="O183" t="str">
            <v>"</v>
          </cell>
          <cell r="P183" t="str">
            <v>LITÚRGICOS</v>
          </cell>
          <cell r="Q183" t="str">
            <v>"</v>
          </cell>
          <cell r="R183" t="str">
            <v>, moments: [</v>
          </cell>
          <cell r="S183" t="str">
            <v>"</v>
          </cell>
          <cell r="T183" t="str">
            <v>Laudes/Visperas</v>
          </cell>
          <cell r="U183" t="str">
            <v>", "</v>
          </cell>
          <cell r="V183" t="str">
            <v>Comunión</v>
          </cell>
          <cell r="W183" t="str">
            <v>", "</v>
          </cell>
          <cell r="X183" t="str">
            <v>Nuevo Testamento</v>
          </cell>
          <cell r="AE183" t="str">
            <v>"], url: "</v>
          </cell>
          <cell r="AF183" t="str">
            <v>/cantos/resucito/s/salmodiaparaelevangelio.html</v>
          </cell>
          <cell r="AG183" t="str">
            <v>/cantos/resucito/s/salmodiaparaelevangelio.html</v>
          </cell>
          <cell r="AH183" t="str">
            <v>"},</v>
          </cell>
          <cell r="AI183" t="str">
            <v>s</v>
          </cell>
          <cell r="AJ183" t="str">
            <v>l</v>
          </cell>
          <cell r="AK183" t="str">
            <v>{id:182,title: "salmodiaparaelevangelioSalmodia para el evangelio", subtitle: "Juan 3,11-20 ", category: "LITÚRGICOS", moments: ["Laudes/Visperas", "Comunión", "Nuevo Testamento"], url: "/cantos/resucito/s/salmodiaparaelevangelio.html/cantos/resucito/s/salmodiaparaelevangelio.html"},</v>
          </cell>
          <cell r="AL183" t="str">
            <v>SALMODIA PARA EL EVANGELIO</v>
          </cell>
          <cell r="AM183" t="str">
            <v>salmodiaparaelevangelio</v>
          </cell>
          <cell r="AN183" t="str">
            <v xml:space="preserve">Juan 3,11-20 </v>
          </cell>
          <cell r="AP183" t="str">
            <v>CANTO</v>
          </cell>
          <cell r="AQ183" t="str">
            <v>SALMODIA PARA EL EVANGELIO</v>
          </cell>
        </row>
        <row r="184">
          <cell r="A184">
            <v>209</v>
          </cell>
          <cell r="B184" t="str">
            <v>{id:</v>
          </cell>
          <cell r="C184">
            <v>183</v>
          </cell>
          <cell r="D184" t="str">
            <v>,</v>
          </cell>
          <cell r="E184" t="str">
            <v xml:space="preserve">title: </v>
          </cell>
          <cell r="F184" t="str">
            <v>"</v>
          </cell>
          <cell r="G184" t="str">
            <v>salmodiaparaelrosario</v>
          </cell>
          <cell r="H184" t="str">
            <v>Salmodia para el rosario</v>
          </cell>
          <cell r="I184" t="str">
            <v>",</v>
          </cell>
          <cell r="J184" t="str">
            <v xml:space="preserve"> subtitle: </v>
          </cell>
          <cell r="K184" t="str">
            <v>"</v>
          </cell>
          <cell r="L184" t="str">
            <v>Santo Rosario</v>
          </cell>
          <cell r="M184" t="str">
            <v xml:space="preserve">", </v>
          </cell>
          <cell r="N184" t="str">
            <v xml:space="preserve">category: </v>
          </cell>
          <cell r="O184" t="str">
            <v>"</v>
          </cell>
          <cell r="P184" t="str">
            <v>LITÚRGICOS</v>
          </cell>
          <cell r="Q184" t="str">
            <v>"</v>
          </cell>
          <cell r="R184" t="str">
            <v>, moments: [</v>
          </cell>
          <cell r="S184" t="str">
            <v>"</v>
          </cell>
          <cell r="T184" t="str">
            <v>Final</v>
          </cell>
          <cell r="AE184" t="str">
            <v>"], url: "</v>
          </cell>
          <cell r="AF184" t="str">
            <v>/cantos/resucito/s/salmodiaparaelrosario.html</v>
          </cell>
          <cell r="AG184" t="str">
            <v>/cantos/resucito/s/salmodiaparaelrosario.html</v>
          </cell>
          <cell r="AH184" t="str">
            <v>"},</v>
          </cell>
          <cell r="AI184" t="str">
            <v>s</v>
          </cell>
          <cell r="AJ184" t="str">
            <v>l</v>
          </cell>
          <cell r="AK184" t="str">
            <v>{id:183,title: "salmodiaparaelrosarioSalmodia para el rosario", subtitle: "Santo Rosario", category: "LITÚRGICOS", moments: ["Final"], url: "/cantos/resucito/s/salmodiaparaelrosario.html/cantos/resucito/s/salmodiaparaelrosario.html"},</v>
          </cell>
          <cell r="AL184" t="str">
            <v>SALMODIA PARA EL ROSARIO</v>
          </cell>
          <cell r="AM184" t="str">
            <v>salmodiaparaelrosario</v>
          </cell>
          <cell r="AN184" t="str">
            <v>Santo Rosario</v>
          </cell>
          <cell r="AP184" t="str">
            <v>CANTO</v>
          </cell>
          <cell r="AQ184" t="str">
            <v>SALMODIA PARA EL ROSARIO</v>
          </cell>
        </row>
        <row r="185">
          <cell r="A185">
            <v>210</v>
          </cell>
          <cell r="B185" t="str">
            <v>{id:</v>
          </cell>
          <cell r="C185">
            <v>184</v>
          </cell>
          <cell r="D185" t="str">
            <v>,</v>
          </cell>
          <cell r="E185" t="str">
            <v xml:space="preserve">title: </v>
          </cell>
          <cell r="F185" t="str">
            <v>"</v>
          </cell>
          <cell r="G185" t="str">
            <v>salmodiaparaelsalmoresponsorial</v>
          </cell>
          <cell r="H185" t="str">
            <v>Salmodia para el Salmo responsorial</v>
          </cell>
          <cell r="I185" t="str">
            <v>",</v>
          </cell>
          <cell r="J185" t="str">
            <v xml:space="preserve"> subtitle: </v>
          </cell>
          <cell r="K185" t="str">
            <v>"</v>
          </cell>
          <cell r="L185" t="str">
            <v>Modelo I, II, III</v>
          </cell>
          <cell r="M185" t="str">
            <v xml:space="preserve">", </v>
          </cell>
          <cell r="N185" t="str">
            <v xml:space="preserve">category: </v>
          </cell>
          <cell r="O185" t="str">
            <v>"</v>
          </cell>
          <cell r="P185" t="str">
            <v>LITÚRGICOS</v>
          </cell>
          <cell r="Q185" t="str">
            <v>"</v>
          </cell>
          <cell r="R185" t="str">
            <v>, moments: [</v>
          </cell>
          <cell r="S185" t="str">
            <v>"</v>
          </cell>
          <cell r="T185" t="str">
            <v>Cuaresma</v>
          </cell>
          <cell r="U185" t="str">
            <v>", "</v>
          </cell>
          <cell r="V185" t="str">
            <v>Antiguo Testamento</v>
          </cell>
          <cell r="AE185" t="str">
            <v>"], url: "</v>
          </cell>
          <cell r="AF185" t="str">
            <v>/cantos/resucito/s/salmodiaparaelsalmoresponsorial.html</v>
          </cell>
          <cell r="AG185" t="str">
            <v>/cantos/resucito/s/salmodiaparaelsalmoresponsorial.html</v>
          </cell>
          <cell r="AH185" t="str">
            <v>"},</v>
          </cell>
          <cell r="AI185" t="str">
            <v>s</v>
          </cell>
          <cell r="AJ185" t="str">
            <v>l</v>
          </cell>
          <cell r="AK185" t="str">
            <v>{id:184,title: "salmodiaparaelsalmoresponsorialSalmodia para el Salmo responsorial", subtitle: "Modelo I, II, III", category: "LITÚRGICOS", moments: ["Cuaresma", "Antiguo Testamento"], url: "/cantos/resucito/s/salmodiaparaelsalmoresponsorial.html/cantos/resucito/s/salmodiaparaelsalmoresponsorial.html"},</v>
          </cell>
          <cell r="AL185" t="str">
            <v>SALMODIA PARA EL SALMO RESPONSORIAL</v>
          </cell>
          <cell r="AM185" t="str">
            <v>salmodiaparaelsalmoresponsorial</v>
          </cell>
          <cell r="AN185" t="str">
            <v>Modelo I, II, III</v>
          </cell>
          <cell r="AP185" t="str">
            <v>CANTO</v>
          </cell>
          <cell r="AQ185" t="str">
            <v>SALMODIA PARA EL SALMO RESPONSORIAL</v>
          </cell>
        </row>
        <row r="186">
          <cell r="A186">
            <v>211</v>
          </cell>
          <cell r="B186" t="str">
            <v>{id:</v>
          </cell>
          <cell r="C186">
            <v>185</v>
          </cell>
          <cell r="D186" t="str">
            <v>,</v>
          </cell>
          <cell r="E186" t="str">
            <v xml:space="preserve">title: </v>
          </cell>
          <cell r="F186" t="str">
            <v>"</v>
          </cell>
          <cell r="G186" t="str">
            <v>salmodiasparalaoraciondelosfieles</v>
          </cell>
          <cell r="H186" t="str">
            <v>Salmodias para la oración de los fieles</v>
          </cell>
          <cell r="I186" t="str">
            <v>",</v>
          </cell>
          <cell r="J186" t="str">
            <v xml:space="preserve"> subtitle: </v>
          </cell>
          <cell r="K186" t="str">
            <v>"</v>
          </cell>
          <cell r="L186" t="str">
            <v>Para las solemnidades</v>
          </cell>
          <cell r="M186" t="str">
            <v xml:space="preserve">", </v>
          </cell>
          <cell r="N186" t="str">
            <v xml:space="preserve">category: </v>
          </cell>
          <cell r="O186" t="str">
            <v>"</v>
          </cell>
          <cell r="P186" t="str">
            <v>LITÚRGICOS</v>
          </cell>
          <cell r="Q186" t="str">
            <v>"</v>
          </cell>
          <cell r="R186" t="str">
            <v>, moments: [</v>
          </cell>
          <cell r="S186" t="str">
            <v>"</v>
          </cell>
          <cell r="T186" t="str">
            <v>Pascua</v>
          </cell>
          <cell r="U186" t="str">
            <v>", "</v>
          </cell>
          <cell r="V186" t="str">
            <v>Comunión</v>
          </cell>
          <cell r="AE186" t="str">
            <v>"], url: "</v>
          </cell>
          <cell r="AF186" t="str">
            <v>/cantos/resucito/s/salmodiasparalaoraciondelosfieles.html</v>
          </cell>
          <cell r="AG186" t="str">
            <v>/cantos/resucito/s/salmodiasparalaoraciondelosfieles.html</v>
          </cell>
          <cell r="AH186" t="str">
            <v>"},</v>
          </cell>
          <cell r="AI186" t="str">
            <v>s</v>
          </cell>
          <cell r="AJ186" t="str">
            <v>l</v>
          </cell>
          <cell r="AK186" t="str">
            <v>{id:185,title: "salmodiasparalaoraciondelosfielesSalmodias para la oración de los fieles", subtitle: "Para las solemnidades", category: "LITÚRGICOS", moments: ["Pascua", "Comunión"], url: "/cantos/resucito/s/salmodiasparalaoraciondelosfieles.html/cantos/resucito/s/salmodiasparalaoraciondelosfieles.html"},</v>
          </cell>
          <cell r="AL186" t="str">
            <v>SALMODIAS PARA LA ORACIÓN DE LOS FIELES</v>
          </cell>
          <cell r="AM186" t="str">
            <v>salmodiasparalaoracióndelosfieles</v>
          </cell>
          <cell r="AN186" t="str">
            <v>Para las solemnidades</v>
          </cell>
          <cell r="AP186" t="str">
            <v>CANTO</v>
          </cell>
          <cell r="AQ186" t="str">
            <v>SALMODIAS PARA LA ORACIÓN DE LOS FIELES</v>
          </cell>
        </row>
        <row r="187">
          <cell r="A187">
            <v>212</v>
          </cell>
          <cell r="B187" t="str">
            <v>{id:</v>
          </cell>
          <cell r="C187">
            <v>186</v>
          </cell>
          <cell r="D187" t="str">
            <v>,</v>
          </cell>
          <cell r="E187" t="str">
            <v xml:space="preserve">title: </v>
          </cell>
          <cell r="F187" t="str">
            <v>"</v>
          </cell>
          <cell r="G187" t="str">
            <v>salmodiasparalaudes</v>
          </cell>
          <cell r="H187" t="str">
            <v>Salmodias para laudes</v>
          </cell>
          <cell r="I187" t="str">
            <v>",</v>
          </cell>
          <cell r="J187" t="str">
            <v xml:space="preserve"> subtitle: </v>
          </cell>
          <cell r="K187" t="str">
            <v>"</v>
          </cell>
          <cell r="L187" t="str">
            <v>Modelo I, II, III, IV, V</v>
          </cell>
          <cell r="M187" t="str">
            <v xml:space="preserve">", </v>
          </cell>
          <cell r="N187" t="str">
            <v xml:space="preserve">category: </v>
          </cell>
          <cell r="O187" t="str">
            <v>"</v>
          </cell>
          <cell r="P187" t="str">
            <v>LITÚRGICOS</v>
          </cell>
          <cell r="Q187" t="str">
            <v>"</v>
          </cell>
          <cell r="R187" t="str">
            <v>, moments: [</v>
          </cell>
          <cell r="S187" t="str">
            <v>"</v>
          </cell>
          <cell r="T187" t="str">
            <v>Pascua</v>
          </cell>
          <cell r="AE187" t="str">
            <v>"], url: "</v>
          </cell>
          <cell r="AF187" t="str">
            <v>/cantos/resucito/s/salmodiasparalaudes.html</v>
          </cell>
          <cell r="AG187" t="str">
            <v>/cantos/resucito/s/salmodiasparalaudes.html</v>
          </cell>
          <cell r="AH187" t="str">
            <v>"},</v>
          </cell>
          <cell r="AI187" t="str">
            <v>s</v>
          </cell>
          <cell r="AJ187" t="str">
            <v>l</v>
          </cell>
          <cell r="AK187" t="str">
            <v>{id:186,title: "salmodiasparalaudesSalmodias para laudes", subtitle: "Modelo I, II, III, IV, V", category: "LITÚRGICOS", moments: ["Pascua"], url: "/cantos/resucito/s/salmodiasparalaudes.html/cantos/resucito/s/salmodiasparalaudes.html"},</v>
          </cell>
          <cell r="AL187" t="str">
            <v>SALMODIAS PARA LAUDES</v>
          </cell>
          <cell r="AM187" t="str">
            <v>salmodiasparalaudes</v>
          </cell>
          <cell r="AN187" t="str">
            <v>Modelo I, II, III, IV, V</v>
          </cell>
          <cell r="AP187" t="str">
            <v>CANTO</v>
          </cell>
          <cell r="AQ187" t="str">
            <v>SALMODIAS PARA LAUDES</v>
          </cell>
        </row>
        <row r="188">
          <cell r="A188">
            <v>144</v>
          </cell>
          <cell r="B188" t="str">
            <v>{id:</v>
          </cell>
          <cell r="C188">
            <v>187</v>
          </cell>
          <cell r="D188" t="str">
            <v>,</v>
          </cell>
          <cell r="E188" t="str">
            <v xml:space="preserve">title: </v>
          </cell>
          <cell r="F188" t="str">
            <v>"</v>
          </cell>
          <cell r="G188" t="str">
            <v>salvereinadeloscielos</v>
          </cell>
          <cell r="H188" t="str">
            <v>Salve, reina de los cielos</v>
          </cell>
          <cell r="I188" t="str">
            <v>",</v>
          </cell>
          <cell r="J188" t="str">
            <v xml:space="preserve"> subtitle: </v>
          </cell>
          <cell r="K188" t="str">
            <v>"</v>
          </cell>
          <cell r="L188" t="str">
            <v>Himno lat. «Ave, Regina Caelorum»</v>
          </cell>
          <cell r="M188" t="str">
            <v xml:space="preserve">", </v>
          </cell>
          <cell r="N188" t="str">
            <v xml:space="preserve">category: </v>
          </cell>
          <cell r="O188" t="str">
            <v>"</v>
          </cell>
          <cell r="P188" t="str">
            <v>PRECATECUMENADO</v>
          </cell>
          <cell r="Q188" t="str">
            <v>"</v>
          </cell>
          <cell r="R188" t="str">
            <v>, moments: [</v>
          </cell>
          <cell r="S188" t="str">
            <v>"</v>
          </cell>
          <cell r="AE188" t="str">
            <v>"], url: "</v>
          </cell>
          <cell r="AF188" t="str">
            <v>/cantos/resucito/s/salvereinadeloscielos.html</v>
          </cell>
          <cell r="AG188" t="str">
            <v>/cantos/resucito/s/salvereinadeloscielos.html</v>
          </cell>
          <cell r="AH188" t="str">
            <v>"},</v>
          </cell>
          <cell r="AI188" t="str">
            <v>s</v>
          </cell>
          <cell r="AJ188" t="str">
            <v>p</v>
          </cell>
          <cell r="AK188" t="str">
            <v>{id:187,title: "salvereinadeloscielosSalve, reina de los cielos", subtitle: "Himno lat. «Ave, Regina Caelorum»", category: "PRECATECUMENADO", moments: [""], url: "/cantos/resucito/s/salvereinadeloscielos.html/cantos/resucito/s/salvereinadeloscielos.html"},</v>
          </cell>
          <cell r="AL188" t="str">
            <v>SALVE, REINA DE LOS CIELOS</v>
          </cell>
          <cell r="AM188" t="str">
            <v>salve,reinadeloscielos</v>
          </cell>
          <cell r="AN188" t="str">
            <v>Himno lat. «Ave, Regina Caelorum»</v>
          </cell>
          <cell r="AP188" t="str">
            <v>CANTO</v>
          </cell>
          <cell r="AQ188" t="str">
            <v>SALVE, REINA DE LOS CIELOS</v>
          </cell>
        </row>
        <row r="189">
          <cell r="A189">
            <v>214</v>
          </cell>
          <cell r="B189" t="str">
            <v>{id:</v>
          </cell>
          <cell r="C189">
            <v>188</v>
          </cell>
          <cell r="D189" t="str">
            <v>,</v>
          </cell>
          <cell r="E189" t="str">
            <v xml:space="preserve">title: </v>
          </cell>
          <cell r="F189" t="str">
            <v>"</v>
          </cell>
          <cell r="G189" t="str">
            <v>santo</v>
          </cell>
          <cell r="H189" t="str">
            <v>Santo</v>
          </cell>
          <cell r="I189" t="str">
            <v>",</v>
          </cell>
          <cell r="J189" t="str">
            <v xml:space="preserve"> subtitle: </v>
          </cell>
          <cell r="K189" t="str">
            <v>"</v>
          </cell>
          <cell r="L189" t="str">
            <v>Palomeras 65</v>
          </cell>
          <cell r="M189" t="str">
            <v xml:space="preserve">", </v>
          </cell>
          <cell r="N189" t="str">
            <v xml:space="preserve">category: </v>
          </cell>
          <cell r="O189" t="str">
            <v>"</v>
          </cell>
          <cell r="P189" t="str">
            <v>LITÚRGICOS</v>
          </cell>
          <cell r="Q189" t="str">
            <v>"</v>
          </cell>
          <cell r="R189" t="str">
            <v>, moments: [</v>
          </cell>
          <cell r="S189" t="str">
            <v>"</v>
          </cell>
          <cell r="AE189" t="str">
            <v>"], url: "</v>
          </cell>
          <cell r="AF189" t="str">
            <v>/cantos/resucito/s/santo.html</v>
          </cell>
          <cell r="AG189" t="str">
            <v>/cantos/resucito/s/santo.html</v>
          </cell>
          <cell r="AH189" t="str">
            <v>"},</v>
          </cell>
          <cell r="AI189" t="str">
            <v>s</v>
          </cell>
          <cell r="AJ189" t="str">
            <v>l</v>
          </cell>
          <cell r="AK189" t="str">
            <v>{id:188,title: "santoSanto", subtitle: "Palomeras 65", category: "LITÚRGICOS", moments: [""], url: "/cantos/resucito/s/santo.html/cantos/resucito/s/santo.html"},</v>
          </cell>
          <cell r="AL189" t="str">
            <v>SANTO</v>
          </cell>
          <cell r="AM189" t="str">
            <v>santo</v>
          </cell>
          <cell r="AN189" t="str">
            <v>Palomeras 65</v>
          </cell>
          <cell r="AP189" t="str">
            <v>CANTO</v>
          </cell>
          <cell r="AQ189" t="str">
            <v>SANTO</v>
          </cell>
        </row>
        <row r="190">
          <cell r="A190">
            <v>215</v>
          </cell>
          <cell r="B190" t="str">
            <v>{id:</v>
          </cell>
          <cell r="C190">
            <v>189</v>
          </cell>
          <cell r="D190" t="str">
            <v>,</v>
          </cell>
          <cell r="E190" t="str">
            <v xml:space="preserve">title: </v>
          </cell>
          <cell r="F190" t="str">
            <v>"</v>
          </cell>
          <cell r="G190" t="str">
            <v>santo</v>
          </cell>
          <cell r="H190" t="str">
            <v>Santo</v>
          </cell>
          <cell r="I190" t="str">
            <v>",</v>
          </cell>
          <cell r="J190" t="str">
            <v xml:space="preserve"> subtitle: </v>
          </cell>
          <cell r="K190" t="str">
            <v>"</v>
          </cell>
          <cell r="L190" t="str">
            <v xml:space="preserve">Melodía hebraica </v>
          </cell>
          <cell r="M190" t="str">
            <v xml:space="preserve">", </v>
          </cell>
          <cell r="N190" t="str">
            <v xml:space="preserve">category: </v>
          </cell>
          <cell r="O190" t="str">
            <v>"</v>
          </cell>
          <cell r="P190" t="str">
            <v>LITÚRGICOS</v>
          </cell>
          <cell r="Q190" t="str">
            <v>"</v>
          </cell>
          <cell r="R190" t="str">
            <v>, moments: [</v>
          </cell>
          <cell r="S190" t="str">
            <v>"</v>
          </cell>
          <cell r="T190" t="str">
            <v>Ordinario</v>
          </cell>
          <cell r="AE190" t="str">
            <v>"], url: "</v>
          </cell>
          <cell r="AF190" t="str">
            <v>/cantos/resucito/s/santo.html</v>
          </cell>
          <cell r="AG190" t="str">
            <v>/cantos/resucito/s/santo.html</v>
          </cell>
          <cell r="AH190" t="str">
            <v>"},</v>
          </cell>
          <cell r="AI190" t="str">
            <v>s</v>
          </cell>
          <cell r="AJ190" t="str">
            <v>l</v>
          </cell>
          <cell r="AK190" t="str">
            <v>{id:189,title: "santoSanto", subtitle: "Melodía hebraica ", category: "LITÚRGICOS", moments: ["Ordinario"], url: "/cantos/resucito/s/santo.html/cantos/resucito/s/santo.html"},</v>
          </cell>
          <cell r="AL190" t="str">
            <v>SANTO</v>
          </cell>
          <cell r="AM190" t="str">
            <v>santo</v>
          </cell>
          <cell r="AN190" t="str">
            <v xml:space="preserve">Melodía hebraica </v>
          </cell>
          <cell r="AP190" t="str">
            <v>CANTO</v>
          </cell>
          <cell r="AQ190" t="str">
            <v>SANTO</v>
          </cell>
        </row>
        <row r="191">
          <cell r="A191">
            <v>216</v>
          </cell>
          <cell r="B191" t="str">
            <v>{id:</v>
          </cell>
          <cell r="C191">
            <v>190</v>
          </cell>
          <cell r="D191" t="str">
            <v>,</v>
          </cell>
          <cell r="E191" t="str">
            <v xml:space="preserve">title: </v>
          </cell>
          <cell r="F191" t="str">
            <v>"</v>
          </cell>
          <cell r="G191" t="str">
            <v>santo</v>
          </cell>
          <cell r="H191" t="str">
            <v>Santo</v>
          </cell>
          <cell r="I191" t="str">
            <v>",</v>
          </cell>
          <cell r="J191" t="str">
            <v xml:space="preserve"> subtitle: </v>
          </cell>
          <cell r="K191" t="str">
            <v>"</v>
          </cell>
          <cell r="L191" t="str">
            <v>Palestina 74</v>
          </cell>
          <cell r="M191" t="str">
            <v xml:space="preserve">", </v>
          </cell>
          <cell r="N191" t="str">
            <v xml:space="preserve">category: </v>
          </cell>
          <cell r="O191" t="str">
            <v>"</v>
          </cell>
          <cell r="P191" t="str">
            <v>LITÚRGICOS</v>
          </cell>
          <cell r="Q191" t="str">
            <v>"</v>
          </cell>
          <cell r="R191" t="str">
            <v>, moments: [</v>
          </cell>
          <cell r="S191" t="str">
            <v>"</v>
          </cell>
          <cell r="T191" t="str">
            <v>Ordinario</v>
          </cell>
          <cell r="AE191" t="str">
            <v>"], url: "</v>
          </cell>
          <cell r="AF191" t="str">
            <v>/cantos/resucito/s/santo.html</v>
          </cell>
          <cell r="AG191" t="str">
            <v>/cantos/resucito/s/santo.html</v>
          </cell>
          <cell r="AH191" t="str">
            <v>"},</v>
          </cell>
          <cell r="AI191" t="str">
            <v>s</v>
          </cell>
          <cell r="AJ191" t="str">
            <v>l</v>
          </cell>
          <cell r="AK191" t="str">
            <v>{id:190,title: "santoSanto", subtitle: "Palestina 74", category: "LITÚRGICOS", moments: ["Ordinario"], url: "/cantos/resucito/s/santo.html/cantos/resucito/s/santo.html"},</v>
          </cell>
          <cell r="AL191" t="str">
            <v>SANTO</v>
          </cell>
          <cell r="AM191" t="str">
            <v>santo</v>
          </cell>
          <cell r="AN191" t="str">
            <v>Palestina 74</v>
          </cell>
          <cell r="AP191" t="str">
            <v>CANTO</v>
          </cell>
          <cell r="AQ191" t="str">
            <v>SANTO</v>
          </cell>
        </row>
        <row r="192">
          <cell r="A192">
            <v>217</v>
          </cell>
          <cell r="B192" t="str">
            <v>{id:</v>
          </cell>
          <cell r="C192">
            <v>191</v>
          </cell>
          <cell r="D192" t="str">
            <v>,</v>
          </cell>
          <cell r="E192" t="str">
            <v xml:space="preserve">title: </v>
          </cell>
          <cell r="F192" t="str">
            <v>"</v>
          </cell>
          <cell r="G192" t="str">
            <v>santo</v>
          </cell>
          <cell r="H192" t="str">
            <v>Santo</v>
          </cell>
          <cell r="I192" t="str">
            <v>",</v>
          </cell>
          <cell r="J192" t="str">
            <v xml:space="preserve"> subtitle: </v>
          </cell>
          <cell r="K192" t="str">
            <v>"</v>
          </cell>
          <cell r="L192" t="str">
            <v>Roma 77</v>
          </cell>
          <cell r="M192" t="str">
            <v xml:space="preserve">", </v>
          </cell>
          <cell r="N192" t="str">
            <v xml:space="preserve">category: </v>
          </cell>
          <cell r="O192" t="str">
            <v>"</v>
          </cell>
          <cell r="P192" t="str">
            <v>LITÚRGICOS</v>
          </cell>
          <cell r="Q192" t="str">
            <v>"</v>
          </cell>
          <cell r="R192" t="str">
            <v>, moments: [</v>
          </cell>
          <cell r="S192" t="str">
            <v>"</v>
          </cell>
          <cell r="AE192" t="str">
            <v>"], url: "</v>
          </cell>
          <cell r="AF192" t="str">
            <v>/cantos/resucito/s/santo.html</v>
          </cell>
          <cell r="AG192" t="str">
            <v>/cantos/resucito/s/santo.html</v>
          </cell>
          <cell r="AH192" t="str">
            <v>"},</v>
          </cell>
          <cell r="AI192" t="str">
            <v>s</v>
          </cell>
          <cell r="AJ192" t="str">
            <v>l</v>
          </cell>
          <cell r="AK192" t="str">
            <v>{id:191,title: "santoSanto", subtitle: "Roma 77", category: "LITÚRGICOS", moments: [""], url: "/cantos/resucito/s/santo.html/cantos/resucito/s/santo.html"},</v>
          </cell>
          <cell r="AL192" t="str">
            <v>SANTO</v>
          </cell>
          <cell r="AM192" t="str">
            <v>santo</v>
          </cell>
          <cell r="AN192" t="str">
            <v>Roma 77</v>
          </cell>
          <cell r="AP192" t="str">
            <v>CANTO</v>
          </cell>
          <cell r="AQ192" t="str">
            <v>SANTO</v>
          </cell>
        </row>
        <row r="193">
          <cell r="A193">
            <v>218</v>
          </cell>
          <cell r="B193" t="str">
            <v>{id:</v>
          </cell>
          <cell r="C193">
            <v>192</v>
          </cell>
          <cell r="D193" t="str">
            <v>,</v>
          </cell>
          <cell r="E193" t="str">
            <v xml:space="preserve">title: </v>
          </cell>
          <cell r="F193" t="str">
            <v>"</v>
          </cell>
          <cell r="G193" t="str">
            <v>santo</v>
          </cell>
          <cell r="H193" t="str">
            <v>Santo</v>
          </cell>
          <cell r="I193" t="str">
            <v>",</v>
          </cell>
          <cell r="J193" t="str">
            <v xml:space="preserve"> subtitle: </v>
          </cell>
          <cell r="K193" t="str">
            <v>"</v>
          </cell>
          <cell r="L193">
            <v>1982</v>
          </cell>
          <cell r="M193" t="str">
            <v xml:space="preserve">", </v>
          </cell>
          <cell r="N193" t="str">
            <v xml:space="preserve">category: </v>
          </cell>
          <cell r="O193" t="str">
            <v>"</v>
          </cell>
          <cell r="P193" t="str">
            <v>LITÚRGICOS</v>
          </cell>
          <cell r="Q193" t="str">
            <v>"</v>
          </cell>
          <cell r="R193" t="str">
            <v>, moments: [</v>
          </cell>
          <cell r="S193" t="str">
            <v>"</v>
          </cell>
          <cell r="AE193" t="str">
            <v>"], url: "</v>
          </cell>
          <cell r="AF193" t="str">
            <v>/cantos/resucito/s/santo.html</v>
          </cell>
          <cell r="AG193" t="str">
            <v>/cantos/resucito/s/santo.html</v>
          </cell>
          <cell r="AH193" t="str">
            <v>"},</v>
          </cell>
          <cell r="AI193" t="str">
            <v>s</v>
          </cell>
          <cell r="AJ193" t="str">
            <v>l</v>
          </cell>
          <cell r="AK193" t="str">
            <v>{id:192,title: "santoSanto", subtitle: "1982", category: "LITÚRGICOS", moments: [""], url: "/cantos/resucito/s/santo.html/cantos/resucito/s/santo.html"},</v>
          </cell>
          <cell r="AL193" t="str">
            <v>SANTO</v>
          </cell>
          <cell r="AM193" t="str">
            <v>santo</v>
          </cell>
          <cell r="AN193">
            <v>1982</v>
          </cell>
          <cell r="AP193" t="str">
            <v>CANTO</v>
          </cell>
          <cell r="AQ193" t="str">
            <v>SANTO</v>
          </cell>
        </row>
        <row r="194">
          <cell r="A194">
            <v>219</v>
          </cell>
          <cell r="B194" t="str">
            <v>{id:</v>
          </cell>
          <cell r="C194">
            <v>193</v>
          </cell>
          <cell r="D194" t="str">
            <v>,</v>
          </cell>
          <cell r="E194" t="str">
            <v xml:space="preserve">title: </v>
          </cell>
          <cell r="F194" t="str">
            <v>"</v>
          </cell>
          <cell r="G194" t="str">
            <v>santo</v>
          </cell>
          <cell r="H194" t="str">
            <v>Santo</v>
          </cell>
          <cell r="I194" t="str">
            <v>",</v>
          </cell>
          <cell r="J194" t="str">
            <v xml:space="preserve"> subtitle: </v>
          </cell>
          <cell r="K194" t="str">
            <v>"</v>
          </cell>
          <cell r="L194">
            <v>1988</v>
          </cell>
          <cell r="M194" t="str">
            <v xml:space="preserve">", </v>
          </cell>
          <cell r="N194" t="str">
            <v xml:space="preserve">category: </v>
          </cell>
          <cell r="O194" t="str">
            <v>"</v>
          </cell>
          <cell r="P194" t="str">
            <v>LITÚRGICOS</v>
          </cell>
          <cell r="Q194" t="str">
            <v>"</v>
          </cell>
          <cell r="R194" t="str">
            <v>, moments: [</v>
          </cell>
          <cell r="S194" t="str">
            <v>"</v>
          </cell>
          <cell r="T194" t="str">
            <v>Virgen</v>
          </cell>
          <cell r="U194" t="str">
            <v>", "</v>
          </cell>
          <cell r="V194" t="str">
            <v>Final</v>
          </cell>
          <cell r="AE194" t="str">
            <v>"], url: "</v>
          </cell>
          <cell r="AF194" t="str">
            <v>/cantos/resucito/s/santo.html</v>
          </cell>
          <cell r="AG194" t="str">
            <v>/cantos/resucito/s/santo.html</v>
          </cell>
          <cell r="AH194" t="str">
            <v>"},</v>
          </cell>
          <cell r="AI194" t="str">
            <v>s</v>
          </cell>
          <cell r="AJ194" t="str">
            <v>l</v>
          </cell>
          <cell r="AK194" t="str">
            <v>{id:193,title: "santoSanto", subtitle: "1988", category: "LITÚRGICOS", moments: ["Virgen", "Final"], url: "/cantos/resucito/s/santo.html/cantos/resucito/s/santo.html"},</v>
          </cell>
          <cell r="AL194" t="str">
            <v>SANTO</v>
          </cell>
          <cell r="AM194" t="str">
            <v>santo</v>
          </cell>
          <cell r="AN194">
            <v>1988</v>
          </cell>
          <cell r="AP194" t="str">
            <v>CANTO</v>
          </cell>
          <cell r="AQ194" t="str">
            <v>SANTO</v>
          </cell>
        </row>
        <row r="195">
          <cell r="A195">
            <v>145</v>
          </cell>
          <cell r="B195" t="str">
            <v>{id:</v>
          </cell>
          <cell r="C195">
            <v>194</v>
          </cell>
          <cell r="D195" t="str">
            <v>,</v>
          </cell>
          <cell r="E195" t="str">
            <v xml:space="preserve">title: </v>
          </cell>
          <cell r="F195" t="str">
            <v>"</v>
          </cell>
          <cell r="G195" t="str">
            <v>seencontrarondosangeles</v>
          </cell>
          <cell r="H195" t="str">
            <v>Se encontraron dos ángeles</v>
          </cell>
          <cell r="I195" t="str">
            <v>",</v>
          </cell>
          <cell r="J195" t="str">
            <v xml:space="preserve"> subtitle: </v>
          </cell>
          <cell r="K195" t="str">
            <v>"</v>
          </cell>
          <cell r="L195" t="str">
            <v>Melodía hebraica</v>
          </cell>
          <cell r="M195" t="str">
            <v xml:space="preserve">", </v>
          </cell>
          <cell r="N195" t="str">
            <v xml:space="preserve">category: </v>
          </cell>
          <cell r="O195" t="str">
            <v>"</v>
          </cell>
          <cell r="P195" t="str">
            <v>PRECATECUMENADO</v>
          </cell>
          <cell r="Q195" t="str">
            <v>"</v>
          </cell>
          <cell r="R195" t="str">
            <v>, moments: [</v>
          </cell>
          <cell r="S195" t="str">
            <v>"</v>
          </cell>
          <cell r="AE195" t="str">
            <v>"], url: "</v>
          </cell>
          <cell r="AF195" t="str">
            <v>/cantos/resucito/s/seencontrarondosangeles.html</v>
          </cell>
          <cell r="AG195" t="str">
            <v>/cantos/resucito/s/seencontrarondosangeles.html</v>
          </cell>
          <cell r="AH195" t="str">
            <v>"},</v>
          </cell>
          <cell r="AI195" t="str">
            <v>s</v>
          </cell>
          <cell r="AJ195" t="str">
            <v>p</v>
          </cell>
          <cell r="AK195" t="str">
            <v>{id:194,title: "seencontrarondosangelesSe encontraron dos ángeles", subtitle: "Melodía hebraica", category: "PRECATECUMENADO", moments: [""], url: "/cantos/resucito/s/seencontrarondosangeles.html/cantos/resucito/s/seencontrarondosangeles.html"},</v>
          </cell>
          <cell r="AL195" t="str">
            <v>SE ENCONTRARON DOS ÁNGELES</v>
          </cell>
          <cell r="AM195" t="str">
            <v>seencontrarondosángeles</v>
          </cell>
          <cell r="AN195" t="str">
            <v>Melodía hebraica</v>
          </cell>
          <cell r="AP195" t="str">
            <v>CANTO</v>
          </cell>
          <cell r="AQ195" t="str">
            <v>SE ENCONTRARON DOS ÁNGELES</v>
          </cell>
        </row>
        <row r="196">
          <cell r="A196">
            <v>146</v>
          </cell>
          <cell r="B196" t="str">
            <v>{id:</v>
          </cell>
          <cell r="C196">
            <v>195</v>
          </cell>
          <cell r="D196" t="str">
            <v>,</v>
          </cell>
          <cell r="E196" t="str">
            <v xml:space="preserve">title: </v>
          </cell>
          <cell r="F196" t="str">
            <v>"</v>
          </cell>
          <cell r="G196" t="str">
            <v>senorayudameanodudardeti</v>
          </cell>
          <cell r="H196" t="str">
            <v>Señor, ayúdame a no dudar de ti</v>
          </cell>
          <cell r="I196" t="str">
            <v>",</v>
          </cell>
          <cell r="J196" t="str">
            <v xml:space="preserve"> subtitle: </v>
          </cell>
          <cell r="K196" t="str">
            <v>"</v>
          </cell>
          <cell r="L196" t="str">
            <v>(Kiko Argüello)</v>
          </cell>
          <cell r="M196" t="str">
            <v xml:space="preserve">", </v>
          </cell>
          <cell r="N196" t="str">
            <v xml:space="preserve">category: </v>
          </cell>
          <cell r="O196" t="str">
            <v>"</v>
          </cell>
          <cell r="P196" t="str">
            <v>PRECATECUMENADO</v>
          </cell>
          <cell r="Q196" t="str">
            <v>"</v>
          </cell>
          <cell r="R196" t="str">
            <v>, moments: [</v>
          </cell>
          <cell r="S196" t="str">
            <v>"</v>
          </cell>
          <cell r="T196" t="str">
            <v>Ordinario</v>
          </cell>
          <cell r="AE196" t="str">
            <v>"], url: "</v>
          </cell>
          <cell r="AF196" t="str">
            <v>/cantos/resucito/s/senorayudameanodudardeti.html</v>
          </cell>
          <cell r="AG196" t="str">
            <v>/cantos/resucito/s/senorayudameanodudardeti.html</v>
          </cell>
          <cell r="AH196" t="str">
            <v>"},</v>
          </cell>
          <cell r="AI196" t="str">
            <v>s</v>
          </cell>
          <cell r="AJ196" t="str">
            <v>p</v>
          </cell>
          <cell r="AK196" t="str">
            <v>{id:195,title: "senorayudameanodudardetiSeñor, ayúdame a no dudar de ti", subtitle: "(Kiko Argüello)", category: "PRECATECUMENADO", moments: ["Ordinario"], url: "/cantos/resucito/s/senorayudameanodudardeti.html/cantos/resucito/s/senorayudameanodudardeti.html"},</v>
          </cell>
          <cell r="AL196" t="str">
            <v>SEÑOR, AYÚDAME A NO DUDAR DE TI</v>
          </cell>
          <cell r="AM196" t="str">
            <v>señor,ayúdameanodudardeti</v>
          </cell>
          <cell r="AN196" t="str">
            <v>(Kiko Argüello)</v>
          </cell>
          <cell r="AP196" t="str">
            <v>CANTO</v>
          </cell>
          <cell r="AQ196" t="str">
            <v>SEÑOR, AYÚDAME A NO DUDAR DE TI</v>
          </cell>
        </row>
        <row r="197">
          <cell r="A197">
            <v>147</v>
          </cell>
          <cell r="B197" t="str">
            <v>{id:</v>
          </cell>
          <cell r="C197">
            <v>196</v>
          </cell>
          <cell r="D197" t="str">
            <v>,</v>
          </cell>
          <cell r="E197" t="str">
            <v xml:space="preserve">title: </v>
          </cell>
          <cell r="F197" t="str">
            <v>"</v>
          </cell>
          <cell r="G197" t="str">
            <v>senornomecorrijasentucolera</v>
          </cell>
          <cell r="H197" t="str">
            <v>Señor, no me corrijas en tu cólera</v>
          </cell>
          <cell r="I197" t="str">
            <v>",</v>
          </cell>
          <cell r="J197" t="str">
            <v xml:space="preserve"> subtitle: </v>
          </cell>
          <cell r="K197" t="str">
            <v>"</v>
          </cell>
          <cell r="L197" t="str">
            <v>Salmo 6</v>
          </cell>
          <cell r="M197" t="str">
            <v xml:space="preserve">", </v>
          </cell>
          <cell r="N197" t="str">
            <v xml:space="preserve">category: </v>
          </cell>
          <cell r="O197" t="str">
            <v>"</v>
          </cell>
          <cell r="P197" t="str">
            <v>PRECATECUMENADO</v>
          </cell>
          <cell r="Q197" t="str">
            <v>"</v>
          </cell>
          <cell r="R197" t="str">
            <v>, moments: [</v>
          </cell>
          <cell r="S197" t="str">
            <v>"</v>
          </cell>
          <cell r="T197" t="str">
            <v>Niños</v>
          </cell>
          <cell r="U197" t="str">
            <v>", "</v>
          </cell>
          <cell r="V197" t="str">
            <v>Paz</v>
          </cell>
          <cell r="AE197" t="str">
            <v>"], url: "</v>
          </cell>
          <cell r="AF197" t="str">
            <v>/cantos/resucito/s/senornomecorrijasentucolera.html</v>
          </cell>
          <cell r="AG197" t="str">
            <v>/cantos/resucito/s/senornomecorrijasentucolera.html</v>
          </cell>
          <cell r="AH197" t="str">
            <v>"},</v>
          </cell>
          <cell r="AI197" t="str">
            <v>s</v>
          </cell>
          <cell r="AJ197" t="str">
            <v>p</v>
          </cell>
          <cell r="AK197" t="str">
            <v>{id:196,title: "senornomecorrijasentucoleraSeñor, no me corrijas en tu cólera", subtitle: "Salmo 6", category: "PRECATECUMENADO", moments: ["Niños", "Paz"], url: "/cantos/resucito/s/senornomecorrijasentucolera.html/cantos/resucito/s/senornomecorrijasentucolera.html"},</v>
          </cell>
          <cell r="AL197" t="str">
            <v>SEÑOR, NO ME CORRIJAS EN TU CÓLERA</v>
          </cell>
          <cell r="AM197" t="str">
            <v>señor,nomecorrijasentucólera</v>
          </cell>
          <cell r="AN197" t="str">
            <v>Salmo 6</v>
          </cell>
          <cell r="AP197" t="str">
            <v>CANTO</v>
          </cell>
          <cell r="AQ197" t="str">
            <v>SEÑOR, NO ME CORRIJAS EN TU CÓLERA</v>
          </cell>
        </row>
        <row r="198">
          <cell r="A198">
            <v>233</v>
          </cell>
          <cell r="B198" t="str">
            <v>{id:</v>
          </cell>
          <cell r="C198">
            <v>197</v>
          </cell>
          <cell r="D198" t="str">
            <v>,</v>
          </cell>
          <cell r="E198" t="str">
            <v xml:space="preserve">title: </v>
          </cell>
          <cell r="F198" t="str">
            <v>"</v>
          </cell>
          <cell r="G198" t="str">
            <v>senortumeescrutasyconoces</v>
          </cell>
          <cell r="H198" t="str">
            <v>Señor, tú me escrutas y conoces</v>
          </cell>
          <cell r="I198" t="str">
            <v>",</v>
          </cell>
          <cell r="J198" t="str">
            <v xml:space="preserve"> subtitle: </v>
          </cell>
          <cell r="K198" t="str">
            <v>"</v>
          </cell>
          <cell r="L198" t="str">
            <v>Sal 139 (138)</v>
          </cell>
          <cell r="M198" t="str">
            <v xml:space="preserve">", </v>
          </cell>
          <cell r="N198" t="str">
            <v xml:space="preserve">category: </v>
          </cell>
          <cell r="O198" t="str">
            <v>"</v>
          </cell>
          <cell r="P198" t="str">
            <v>CATECUMENADO</v>
          </cell>
          <cell r="Q198" t="str">
            <v>"</v>
          </cell>
          <cell r="R198" t="str">
            <v>, moments: [</v>
          </cell>
          <cell r="S198" t="str">
            <v>"</v>
          </cell>
          <cell r="T198" t="str">
            <v>Pentecostés</v>
          </cell>
          <cell r="U198" t="str">
            <v>", "</v>
          </cell>
          <cell r="V198" t="str">
            <v>Entrada</v>
          </cell>
          <cell r="AE198" t="str">
            <v>"], url: "</v>
          </cell>
          <cell r="AF198" t="str">
            <v>/cantos/resucito/s/senortumeescrutasyconoces.html</v>
          </cell>
          <cell r="AG198" t="str">
            <v>/cantos/resucito/s/senortumeescrutasyconoces.html</v>
          </cell>
          <cell r="AH198" t="str">
            <v>"},</v>
          </cell>
          <cell r="AI198" t="str">
            <v>s</v>
          </cell>
          <cell r="AJ198" t="str">
            <v>c</v>
          </cell>
          <cell r="AK198" t="str">
            <v>{id:197,title: "senortumeescrutasyconocesSeñor, tú me escrutas y conoces", subtitle: "Sal 139 (138)", category: "CATECUMENADO", moments: ["Pentecostés", "Entrada"], url: "/cantos/resucito/s/senortumeescrutasyconoces.html/cantos/resucito/s/senortumeescrutasyconoces.html"},</v>
          </cell>
          <cell r="AL198" t="str">
            <v>SEÑOR, TÚ ME ESCRUTAS Y CONOCES</v>
          </cell>
          <cell r="AM198" t="str">
            <v>señor,túmeescrutasyconoces</v>
          </cell>
          <cell r="AN198" t="str">
            <v>Sal 139 (138)</v>
          </cell>
          <cell r="AP198" t="str">
            <v>CANTO</v>
          </cell>
          <cell r="AQ198" t="str">
            <v>SEÑOR, TÚ ME ESCRUTAS Y CONOCES</v>
          </cell>
        </row>
        <row r="199">
          <cell r="A199">
            <v>148</v>
          </cell>
          <cell r="B199" t="str">
            <v>{id:</v>
          </cell>
          <cell r="C199">
            <v>198</v>
          </cell>
          <cell r="D199" t="str">
            <v>,</v>
          </cell>
          <cell r="E199" t="str">
            <v xml:space="preserve">title: </v>
          </cell>
          <cell r="F199" t="str">
            <v>"</v>
          </cell>
          <cell r="G199" t="str">
            <v>sermondelamontana</v>
          </cell>
          <cell r="H199" t="str">
            <v>Sermón de la montaña</v>
          </cell>
          <cell r="I199" t="str">
            <v>",</v>
          </cell>
          <cell r="J199" t="str">
            <v xml:space="preserve"> subtitle: </v>
          </cell>
          <cell r="K199" t="str">
            <v>"</v>
          </cell>
          <cell r="L199" t="str">
            <v>Lucas 6,20-38</v>
          </cell>
          <cell r="M199" t="str">
            <v xml:space="preserve">", </v>
          </cell>
          <cell r="N199" t="str">
            <v xml:space="preserve">category: </v>
          </cell>
          <cell r="O199" t="str">
            <v>"</v>
          </cell>
          <cell r="P199" t="str">
            <v>PRECATECUMENADO</v>
          </cell>
          <cell r="Q199" t="str">
            <v>"</v>
          </cell>
          <cell r="R199" t="str">
            <v>, moments: [</v>
          </cell>
          <cell r="S199" t="str">
            <v>"</v>
          </cell>
          <cell r="AE199" t="str">
            <v>"], url: "</v>
          </cell>
          <cell r="AF199" t="str">
            <v>/cantos/resucito/s/sermondelamontana.html</v>
          </cell>
          <cell r="AG199" t="str">
            <v>/cantos/resucito/s/sermondelamontana.html</v>
          </cell>
          <cell r="AH199" t="str">
            <v>"},</v>
          </cell>
          <cell r="AI199" t="str">
            <v>s</v>
          </cell>
          <cell r="AJ199" t="str">
            <v>p</v>
          </cell>
          <cell r="AK199" t="str">
            <v>{id:198,title: "sermondelamontanaSermón de la montaña", subtitle: "Lucas 6,20-38", category: "PRECATECUMENADO", moments: [""], url: "/cantos/resucito/s/sermondelamontana.html/cantos/resucito/s/sermondelamontana.html"},</v>
          </cell>
          <cell r="AL199" t="str">
            <v>SERMÓN DE LA MONTAÑA</v>
          </cell>
          <cell r="AM199" t="str">
            <v>sermóndelamontaña</v>
          </cell>
          <cell r="AN199" t="str">
            <v>Lucas 6,20-38</v>
          </cell>
          <cell r="AP199" t="str">
            <v>CANTO</v>
          </cell>
          <cell r="AQ199" t="str">
            <v>SERMÓN DE LA MONTAÑA</v>
          </cell>
        </row>
        <row r="200">
          <cell r="A200">
            <v>234</v>
          </cell>
          <cell r="B200" t="str">
            <v>{id:</v>
          </cell>
          <cell r="C200">
            <v>199</v>
          </cell>
          <cell r="D200" t="str">
            <v>,</v>
          </cell>
          <cell r="E200" t="str">
            <v xml:space="preserve">title: </v>
          </cell>
          <cell r="F200" t="str">
            <v>"</v>
          </cell>
          <cell r="G200" t="str">
            <v>shemaisrael</v>
          </cell>
          <cell r="H200" t="str">
            <v>Shemá Israel</v>
          </cell>
          <cell r="I200" t="str">
            <v>",</v>
          </cell>
          <cell r="J200" t="str">
            <v xml:space="preserve"> subtitle: </v>
          </cell>
          <cell r="K200" t="str">
            <v>"</v>
          </cell>
          <cell r="L200" t="str">
            <v>Dt 6,4-9</v>
          </cell>
          <cell r="M200" t="str">
            <v xml:space="preserve">", </v>
          </cell>
          <cell r="N200" t="str">
            <v xml:space="preserve">category: </v>
          </cell>
          <cell r="O200" t="str">
            <v>"</v>
          </cell>
          <cell r="P200" t="str">
            <v>CATECUMENADO</v>
          </cell>
          <cell r="Q200" t="str">
            <v>"</v>
          </cell>
          <cell r="R200" t="str">
            <v>, moments: [</v>
          </cell>
          <cell r="S200" t="str">
            <v>"</v>
          </cell>
          <cell r="T200" t="str">
            <v>Cuaresma</v>
          </cell>
          <cell r="U200" t="str">
            <v>", "</v>
          </cell>
          <cell r="V200" t="str">
            <v>Laudes/Visperas</v>
          </cell>
          <cell r="W200" t="str">
            <v>", "</v>
          </cell>
          <cell r="X200" t="str">
            <v>Comunión</v>
          </cell>
          <cell r="AE200" t="str">
            <v>"], url: "</v>
          </cell>
          <cell r="AF200" t="str">
            <v>/cantos/resucito/s/shemaisrael.html</v>
          </cell>
          <cell r="AG200" t="str">
            <v>/cantos/resucito/s/shemaisrael.html</v>
          </cell>
          <cell r="AH200" t="str">
            <v>"},</v>
          </cell>
          <cell r="AI200" t="str">
            <v>s</v>
          </cell>
          <cell r="AJ200" t="str">
            <v>c</v>
          </cell>
          <cell r="AK200" t="str">
            <v>{id:199,title: "shemaisraelShemá Israel", subtitle: "Dt 6,4-9", category: "CATECUMENADO", moments: ["Cuaresma", "Laudes/Visperas", "Comunión"], url: "/cantos/resucito/s/shemaisrael.html/cantos/resucito/s/shemaisrael.html"},</v>
          </cell>
          <cell r="AL200" t="str">
            <v>SHEMÁ ISRAEL</v>
          </cell>
          <cell r="AM200" t="str">
            <v>shemáisrael</v>
          </cell>
          <cell r="AN200" t="str">
            <v>Dt 6,4-9</v>
          </cell>
          <cell r="AP200" t="str">
            <v>CANTO</v>
          </cell>
          <cell r="AQ200" t="str">
            <v>SHEMÁ ISRAEL</v>
          </cell>
        </row>
        <row r="201">
          <cell r="A201">
            <v>149</v>
          </cell>
          <cell r="B201" t="str">
            <v>{id:</v>
          </cell>
          <cell r="C201">
            <v>200</v>
          </cell>
          <cell r="D201" t="str">
            <v>,</v>
          </cell>
          <cell r="E201" t="str">
            <v xml:space="preserve">title: </v>
          </cell>
          <cell r="F201" t="str">
            <v>"</v>
          </cell>
          <cell r="G201" t="str">
            <v>shlomlejmariam</v>
          </cell>
          <cell r="H201" t="str">
            <v>Shlom lej Mariam</v>
          </cell>
          <cell r="I201" t="str">
            <v>",</v>
          </cell>
          <cell r="J201" t="str">
            <v xml:space="preserve"> subtitle: </v>
          </cell>
          <cell r="K201" t="str">
            <v>"</v>
          </cell>
          <cell r="L201" t="str">
            <v>Ave María en arameo antiguo</v>
          </cell>
          <cell r="M201" t="str">
            <v xml:space="preserve">", </v>
          </cell>
          <cell r="N201" t="str">
            <v xml:space="preserve">category: </v>
          </cell>
          <cell r="O201" t="str">
            <v>"</v>
          </cell>
          <cell r="P201" t="str">
            <v>PRECATECUMENADO</v>
          </cell>
          <cell r="Q201" t="str">
            <v>"</v>
          </cell>
          <cell r="R201" t="str">
            <v>, moments: [</v>
          </cell>
          <cell r="S201" t="str">
            <v>"</v>
          </cell>
          <cell r="T201" t="str">
            <v>Laudes/Visperas</v>
          </cell>
          <cell r="U201" t="str">
            <v>", "</v>
          </cell>
          <cell r="V201" t="str">
            <v>Antiguo Testamento</v>
          </cell>
          <cell r="AE201" t="str">
            <v>"], url: "</v>
          </cell>
          <cell r="AF201" t="str">
            <v>/cantos/resucito/s/shlomlejmariam.html</v>
          </cell>
          <cell r="AG201" t="str">
            <v>/cantos/resucito/s/shlomlejmariam.html</v>
          </cell>
          <cell r="AH201" t="str">
            <v>"},</v>
          </cell>
          <cell r="AI201" t="str">
            <v>s</v>
          </cell>
          <cell r="AJ201" t="str">
            <v>p</v>
          </cell>
          <cell r="AK201" t="str">
            <v>{id:200,title: "shlomlejmariamShlom lej Mariam", subtitle: "Ave María en arameo antiguo", category: "PRECATECUMENADO", moments: ["Laudes/Visperas", "Antiguo Testamento"], url: "/cantos/resucito/s/shlomlejmariam.html/cantos/resucito/s/shlomlejmariam.html"},</v>
          </cell>
          <cell r="AL201" t="str">
            <v>SHLOM LEJ MARIAM</v>
          </cell>
          <cell r="AM201" t="str">
            <v>shlomlejmariam</v>
          </cell>
          <cell r="AN201" t="str">
            <v>Ave María en arameo antiguo</v>
          </cell>
          <cell r="AP201" t="str">
            <v>CANTO</v>
          </cell>
          <cell r="AQ201" t="str">
            <v>SHLOM LEJ MARIAM</v>
          </cell>
        </row>
        <row r="202">
          <cell r="A202">
            <v>150</v>
          </cell>
          <cell r="B202" t="str">
            <v>{id:</v>
          </cell>
          <cell r="C202">
            <v>201</v>
          </cell>
          <cell r="D202" t="str">
            <v>,</v>
          </cell>
          <cell r="E202" t="str">
            <v xml:space="preserve">title: </v>
          </cell>
          <cell r="F202" t="str">
            <v>"</v>
          </cell>
          <cell r="G202" t="str">
            <v>sielsenornoconstruyelacasa</v>
          </cell>
          <cell r="H202" t="str">
            <v>Si el Señor no construye la casa</v>
          </cell>
          <cell r="I202" t="str">
            <v>",</v>
          </cell>
          <cell r="J202" t="str">
            <v xml:space="preserve"> subtitle: </v>
          </cell>
          <cell r="K202" t="str">
            <v>"</v>
          </cell>
          <cell r="L202" t="str">
            <v>Sal 127 (126)</v>
          </cell>
          <cell r="M202" t="str">
            <v xml:space="preserve">", </v>
          </cell>
          <cell r="N202" t="str">
            <v xml:space="preserve">category: </v>
          </cell>
          <cell r="O202" t="str">
            <v>"</v>
          </cell>
          <cell r="P202" t="str">
            <v>PRECATECUMENADO</v>
          </cell>
          <cell r="Q202" t="str">
            <v>"</v>
          </cell>
          <cell r="R202" t="str">
            <v>, moments: [</v>
          </cell>
          <cell r="S202" t="str">
            <v>"</v>
          </cell>
          <cell r="T202" t="str">
            <v>Antiguo Testamento</v>
          </cell>
          <cell r="AE202" t="str">
            <v>"], url: "</v>
          </cell>
          <cell r="AF202" t="str">
            <v>/cantos/resucito/s/sielsenornoconstruyelacasa.html</v>
          </cell>
          <cell r="AG202" t="str">
            <v>/cantos/resucito/s/sielsenornoconstruyelacasa.html</v>
          </cell>
          <cell r="AH202" t="str">
            <v>"},</v>
          </cell>
          <cell r="AI202" t="str">
            <v>s</v>
          </cell>
          <cell r="AJ202" t="str">
            <v>p</v>
          </cell>
          <cell r="AK202" t="str">
            <v>{id:201,title: "sielsenornoconstruyelacasaSi el Señor no construye la casa", subtitle: "Sal 127 (126)", category: "PRECATECUMENADO", moments: ["Antiguo Testamento"], url: "/cantos/resucito/s/sielsenornoconstruyelacasa.html/cantos/resucito/s/sielsenornoconstruyelacasa.html"},</v>
          </cell>
          <cell r="AL202" t="str">
            <v>SI EL SEÑOR NO CONSTRUYE LA CASA</v>
          </cell>
          <cell r="AM202" t="str">
            <v>sielseñornoconstruyelacasa</v>
          </cell>
          <cell r="AN202" t="str">
            <v>Sal 127 (126)</v>
          </cell>
          <cell r="AP202" t="str">
            <v>CANTO</v>
          </cell>
          <cell r="AQ202" t="str">
            <v>SI EL SEÑOR NO CONSTRUYE LA CASA</v>
          </cell>
        </row>
        <row r="203">
          <cell r="A203">
            <v>151</v>
          </cell>
          <cell r="B203" t="str">
            <v>{id:</v>
          </cell>
          <cell r="C203">
            <v>202</v>
          </cell>
          <cell r="D203" t="str">
            <v>,</v>
          </cell>
          <cell r="E203" t="str">
            <v xml:space="preserve">title: </v>
          </cell>
          <cell r="F203" t="str">
            <v>"</v>
          </cell>
          <cell r="G203" t="str">
            <v>sihabeisresucitadoconcristo</v>
          </cell>
          <cell r="H203" t="str">
            <v>Si habéis resucitado con Cristo</v>
          </cell>
          <cell r="I203" t="str">
            <v>",</v>
          </cell>
          <cell r="J203" t="str">
            <v xml:space="preserve"> subtitle: </v>
          </cell>
          <cell r="K203" t="str">
            <v>"</v>
          </cell>
          <cell r="L203" t="str">
            <v>Colosense 3,1-4</v>
          </cell>
          <cell r="M203" t="str">
            <v xml:space="preserve">", </v>
          </cell>
          <cell r="N203" t="str">
            <v xml:space="preserve">category: </v>
          </cell>
          <cell r="O203" t="str">
            <v>"</v>
          </cell>
          <cell r="P203" t="str">
            <v>PRECATECUMENADO</v>
          </cell>
          <cell r="Q203" t="str">
            <v>"</v>
          </cell>
          <cell r="R203" t="str">
            <v>, moments: [</v>
          </cell>
          <cell r="S203" t="str">
            <v>"</v>
          </cell>
          <cell r="T203" t="str">
            <v>Comunión</v>
          </cell>
          <cell r="U203" t="str">
            <v>", "</v>
          </cell>
          <cell r="V203" t="str">
            <v>Nuevo Testamento</v>
          </cell>
          <cell r="AE203" t="str">
            <v>"], url: "</v>
          </cell>
          <cell r="AF203" t="str">
            <v>/cantos/resucito/s/sihabeisresucitadoconcristo.html</v>
          </cell>
          <cell r="AG203" t="str">
            <v>/cantos/resucito/s/sihabeisresucitadoconcristo.html</v>
          </cell>
          <cell r="AH203" t="str">
            <v>"},</v>
          </cell>
          <cell r="AI203" t="str">
            <v>s</v>
          </cell>
          <cell r="AJ203" t="str">
            <v>p</v>
          </cell>
          <cell r="AK203" t="str">
            <v>{id:202,title: "sihabeisresucitadoconcristoSi habéis resucitado con Cristo", subtitle: "Colosense 3,1-4", category: "PRECATECUMENADO", moments: ["Comunión", "Nuevo Testamento"], url: "/cantos/resucito/s/sihabeisresucitadoconcristo.html/cantos/resucito/s/sihabeisresucitadoconcristo.html"},</v>
          </cell>
          <cell r="AL203" t="str">
            <v>SI HABÉIS RESUCITADO CON CRISTO</v>
          </cell>
          <cell r="AM203" t="str">
            <v>sihabéisresucitadoconcristo</v>
          </cell>
          <cell r="AN203" t="str">
            <v>Colosense 3,1-4</v>
          </cell>
          <cell r="AP203" t="str">
            <v>CANTO</v>
          </cell>
          <cell r="AQ203" t="str">
            <v>SI HABÉIS RESUCITADO CON CRISTO</v>
          </cell>
        </row>
        <row r="204">
          <cell r="A204">
            <v>152</v>
          </cell>
          <cell r="B204" t="str">
            <v>{id:</v>
          </cell>
          <cell r="C204">
            <v>203</v>
          </cell>
          <cell r="D204" t="str">
            <v>,</v>
          </cell>
          <cell r="E204" t="str">
            <v xml:space="preserve">title: </v>
          </cell>
          <cell r="F204" t="str">
            <v>"</v>
          </cell>
          <cell r="G204" t="str">
            <v>sihoyescuchaissuvoz</v>
          </cell>
          <cell r="H204" t="str">
            <v>Si hoy escucháis su voz</v>
          </cell>
          <cell r="I204" t="str">
            <v>",</v>
          </cell>
          <cell r="J204" t="str">
            <v xml:space="preserve"> subtitle: </v>
          </cell>
          <cell r="K204" t="str">
            <v>"</v>
          </cell>
          <cell r="L204" t="str">
            <v>Sal 95 (94)</v>
          </cell>
          <cell r="M204" t="str">
            <v xml:space="preserve">", </v>
          </cell>
          <cell r="N204" t="str">
            <v xml:space="preserve">category: </v>
          </cell>
          <cell r="O204" t="str">
            <v>"</v>
          </cell>
          <cell r="P204" t="str">
            <v>PRECATECUMENADO</v>
          </cell>
          <cell r="Q204" t="str">
            <v>"</v>
          </cell>
          <cell r="R204" t="str">
            <v>, moments: [</v>
          </cell>
          <cell r="S204" t="str">
            <v>"</v>
          </cell>
          <cell r="T204" t="str">
            <v>Pentecostés</v>
          </cell>
          <cell r="U204" t="str">
            <v>", "</v>
          </cell>
          <cell r="V204" t="str">
            <v>Antiguo Testamento</v>
          </cell>
          <cell r="AE204" t="str">
            <v>"], url: "</v>
          </cell>
          <cell r="AF204" t="str">
            <v>/cantos/resucito/s/sihoyescuchaissuvoz.html</v>
          </cell>
          <cell r="AG204" t="str">
            <v>/cantos/resucito/s/sihoyescuchaissuvoz.html</v>
          </cell>
          <cell r="AH204" t="str">
            <v>"},</v>
          </cell>
          <cell r="AI204" t="str">
            <v>s</v>
          </cell>
          <cell r="AJ204" t="str">
            <v>p</v>
          </cell>
          <cell r="AK204" t="str">
            <v>{id:203,title: "sihoyescuchaissuvozSi hoy escucháis su voz", subtitle: "Sal 95 (94)", category: "PRECATECUMENADO", moments: ["Pentecostés", "Antiguo Testamento"], url: "/cantos/resucito/s/sihoyescuchaissuvoz.html/cantos/resucito/s/sihoyescuchaissuvoz.html"},</v>
          </cell>
          <cell r="AL204" t="str">
            <v>SI HOY ESCUCHÁIS SU VOZ</v>
          </cell>
          <cell r="AM204" t="str">
            <v>sihoyescucháissuvoz</v>
          </cell>
          <cell r="AN204" t="str">
            <v>Sal 95 (94)</v>
          </cell>
          <cell r="AP204" t="str">
            <v>CANTO</v>
          </cell>
          <cell r="AQ204" t="str">
            <v>SI HOY ESCUCHÁIS SU VOZ</v>
          </cell>
        </row>
        <row r="205">
          <cell r="A205">
            <v>153</v>
          </cell>
          <cell r="B205" t="str">
            <v>{id:</v>
          </cell>
          <cell r="C205">
            <v>204</v>
          </cell>
          <cell r="D205" t="str">
            <v>,</v>
          </cell>
          <cell r="E205" t="str">
            <v xml:space="preserve">title: </v>
          </cell>
          <cell r="F205" t="str">
            <v>"</v>
          </cell>
          <cell r="G205" t="str">
            <v>simeherefugiadoenelsenor</v>
          </cell>
          <cell r="H205" t="str">
            <v>Si me he refugiado en el Señor</v>
          </cell>
          <cell r="I205" t="str">
            <v>",</v>
          </cell>
          <cell r="J205" t="str">
            <v xml:space="preserve"> subtitle: </v>
          </cell>
          <cell r="K205" t="str">
            <v>"</v>
          </cell>
          <cell r="L205" t="str">
            <v>Sal 11(10)</v>
          </cell>
          <cell r="M205" t="str">
            <v xml:space="preserve">", </v>
          </cell>
          <cell r="N205" t="str">
            <v xml:space="preserve">category: </v>
          </cell>
          <cell r="O205" t="str">
            <v>"</v>
          </cell>
          <cell r="P205" t="str">
            <v>PRECATECUMENADO</v>
          </cell>
          <cell r="Q205" t="str">
            <v>"</v>
          </cell>
          <cell r="R205" t="str">
            <v>, moments: [</v>
          </cell>
          <cell r="S205" t="str">
            <v>"</v>
          </cell>
          <cell r="T205" t="str">
            <v>Virgen</v>
          </cell>
          <cell r="U205" t="str">
            <v>", "</v>
          </cell>
          <cell r="V205" t="str">
            <v>Final</v>
          </cell>
          <cell r="AE205" t="str">
            <v>"], url: "</v>
          </cell>
          <cell r="AF205" t="str">
            <v>/cantos/resucito/s/simeherefugiadoenelsenor.html</v>
          </cell>
          <cell r="AG205" t="str">
            <v>/cantos/resucito/s/simeherefugiadoenelsenor.html</v>
          </cell>
          <cell r="AH205" t="str">
            <v>"},</v>
          </cell>
          <cell r="AI205" t="str">
            <v>s</v>
          </cell>
          <cell r="AJ205" t="str">
            <v>p</v>
          </cell>
          <cell r="AK205" t="str">
            <v>{id:204,title: "simeherefugiadoenelsenorSi me he refugiado en el Señor", subtitle: "Sal 11(10)", category: "PRECATECUMENADO", moments: ["Virgen", "Final"], url: "/cantos/resucito/s/simeherefugiadoenelsenor.html/cantos/resucito/s/simeherefugiadoenelsenor.html"},</v>
          </cell>
          <cell r="AL205" t="str">
            <v>SI ME HE REFUGIADO EN EL SEÑOR</v>
          </cell>
          <cell r="AM205" t="str">
            <v>simeherefugiadoenelseñor</v>
          </cell>
          <cell r="AN205" t="str">
            <v>Sal 11(10)</v>
          </cell>
          <cell r="AP205" t="str">
            <v>CANTO</v>
          </cell>
          <cell r="AQ205" t="str">
            <v>SI ME HE REFUGIADO EN EL SEÑOR</v>
          </cell>
        </row>
        <row r="206">
          <cell r="A206">
            <v>235</v>
          </cell>
          <cell r="B206" t="str">
            <v>{id:</v>
          </cell>
          <cell r="C206">
            <v>205</v>
          </cell>
          <cell r="D206" t="str">
            <v>,</v>
          </cell>
          <cell r="E206" t="str">
            <v xml:space="preserve">title: </v>
          </cell>
          <cell r="F206" t="str">
            <v>"</v>
          </cell>
          <cell r="G206" t="str">
            <v>sientatesolitarioysilencioso</v>
          </cell>
          <cell r="H206" t="str">
            <v>Siéntate solitario y silencioso</v>
          </cell>
          <cell r="I206" t="str">
            <v>",</v>
          </cell>
          <cell r="J206" t="str">
            <v xml:space="preserve"> subtitle: </v>
          </cell>
          <cell r="K206" t="str">
            <v>"</v>
          </cell>
          <cell r="L206" t="str">
            <v>Lamentaciones 3</v>
          </cell>
          <cell r="M206" t="str">
            <v xml:space="preserve">", </v>
          </cell>
          <cell r="N206" t="str">
            <v xml:space="preserve">category: </v>
          </cell>
          <cell r="O206" t="str">
            <v>"</v>
          </cell>
          <cell r="P206" t="str">
            <v>CATECUMENADO</v>
          </cell>
          <cell r="Q206" t="str">
            <v>"</v>
          </cell>
          <cell r="R206" t="str">
            <v>, moments: [</v>
          </cell>
          <cell r="S206" t="str">
            <v>"</v>
          </cell>
          <cell r="T206" t="str">
            <v>Entrada</v>
          </cell>
          <cell r="U206" t="str">
            <v>", "</v>
          </cell>
          <cell r="V206" t="str">
            <v>Antiguo Testamento</v>
          </cell>
          <cell r="AE206" t="str">
            <v>"], url: "</v>
          </cell>
          <cell r="AF206" t="str">
            <v>/cantos/resucito/s/sientatesolitarioysilencioso.html</v>
          </cell>
          <cell r="AG206" t="str">
            <v>/cantos/resucito/s/sientatesolitarioysilencioso.html</v>
          </cell>
          <cell r="AH206" t="str">
            <v>"},</v>
          </cell>
          <cell r="AI206" t="str">
            <v>s</v>
          </cell>
          <cell r="AJ206" t="str">
            <v>c</v>
          </cell>
          <cell r="AK206" t="str">
            <v>{id:205,title: "sientatesolitarioysilenciosoSiéntate solitario y silencioso", subtitle: "Lamentaciones 3", category: "CATECUMENADO", moments: ["Entrada", "Antiguo Testamento"], url: "/cantos/resucito/s/sientatesolitarioysilencioso.html/cantos/resucito/s/sientatesolitarioysilencioso.html"},</v>
          </cell>
          <cell r="AL206" t="str">
            <v>SIÉNTATE SOLITARIO Y SILENCIOSO</v>
          </cell>
          <cell r="AM206" t="str">
            <v>siéntatesolitarioysilencioso</v>
          </cell>
          <cell r="AN206" t="str">
            <v>Lamentaciones 3</v>
          </cell>
          <cell r="AP206" t="str">
            <v>CANTO</v>
          </cell>
          <cell r="AQ206" t="str">
            <v>SIÉNTATE SOLITARIO Y SILENCIOSO</v>
          </cell>
        </row>
        <row r="207">
          <cell r="A207">
            <v>154</v>
          </cell>
          <cell r="B207" t="str">
            <v>{id:</v>
          </cell>
          <cell r="C207">
            <v>206</v>
          </cell>
          <cell r="D207" t="str">
            <v>,</v>
          </cell>
          <cell r="E207" t="str">
            <v xml:space="preserve">title: </v>
          </cell>
          <cell r="F207" t="str">
            <v>"</v>
          </cell>
          <cell r="G207" t="str">
            <v>sionmadredetodoslospueblos</v>
          </cell>
          <cell r="H207" t="str">
            <v>Sión, madre de todos los pueblos</v>
          </cell>
          <cell r="I207" t="str">
            <v>",</v>
          </cell>
          <cell r="J207" t="str">
            <v xml:space="preserve"> subtitle: </v>
          </cell>
          <cell r="K207" t="str">
            <v>"</v>
          </cell>
          <cell r="L207" t="str">
            <v>Sal 87 (86)</v>
          </cell>
          <cell r="M207" t="str">
            <v xml:space="preserve">", </v>
          </cell>
          <cell r="N207" t="str">
            <v xml:space="preserve">category: </v>
          </cell>
          <cell r="O207" t="str">
            <v>"</v>
          </cell>
          <cell r="P207" t="str">
            <v>PRECATECUMENADO</v>
          </cell>
          <cell r="Q207" t="str">
            <v>"</v>
          </cell>
          <cell r="R207" t="str">
            <v>, moments: [</v>
          </cell>
          <cell r="S207" t="str">
            <v>"</v>
          </cell>
          <cell r="T207" t="str">
            <v>Adviento</v>
          </cell>
          <cell r="U207" t="str">
            <v>", "</v>
          </cell>
          <cell r="V207" t="str">
            <v>Pascua</v>
          </cell>
          <cell r="AE207" t="str">
            <v>"], url: "</v>
          </cell>
          <cell r="AF207" t="str">
            <v>/cantos/resucito/s/sionmadredetodoslospueblos.html</v>
          </cell>
          <cell r="AG207" t="str">
            <v>/cantos/resucito/s/sionmadredetodoslospueblos.html</v>
          </cell>
          <cell r="AH207" t="str">
            <v>"},</v>
          </cell>
          <cell r="AI207" t="str">
            <v>s</v>
          </cell>
          <cell r="AJ207" t="str">
            <v>p</v>
          </cell>
          <cell r="AK207" t="str">
            <v>{id:206,title: "sionmadredetodoslospueblosSión, madre de todos los pueblos", subtitle: "Sal 87 (86)", category: "PRECATECUMENADO", moments: ["Adviento", "Pascua"], url: "/cantos/resucito/s/sionmadredetodoslospueblos.html/cantos/resucito/s/sionmadredetodoslospueblos.html"},</v>
          </cell>
          <cell r="AL207" t="str">
            <v>SIÓN, MADRE DE TODOS LOS PUEBLOS</v>
          </cell>
          <cell r="AM207" t="str">
            <v>sión,madredetodoslospueblos</v>
          </cell>
          <cell r="AN207" t="str">
            <v>Sal 87 (86)</v>
          </cell>
          <cell r="AP207" t="str">
            <v>CANTO</v>
          </cell>
          <cell r="AQ207" t="str">
            <v>SIÓN, MADRE DE TODOS LOS PUEBLOS</v>
          </cell>
        </row>
        <row r="208">
          <cell r="A208">
            <v>155</v>
          </cell>
          <cell r="B208" t="str">
            <v>{id:</v>
          </cell>
          <cell r="C208">
            <v>207</v>
          </cell>
          <cell r="D208" t="str">
            <v>,</v>
          </cell>
          <cell r="E208" t="str">
            <v xml:space="preserve">title: </v>
          </cell>
          <cell r="F208" t="str">
            <v>"</v>
          </cell>
          <cell r="G208" t="str">
            <v>solaasolo</v>
          </cell>
          <cell r="H208" t="str">
            <v>Sola a Solo</v>
          </cell>
          <cell r="I208" t="str">
            <v>",</v>
          </cell>
          <cell r="J208" t="str">
            <v xml:space="preserve"> subtitle: </v>
          </cell>
          <cell r="K208" t="str">
            <v>"</v>
          </cell>
          <cell r="L208" t="str">
            <v>(Kiko Argüello)</v>
          </cell>
          <cell r="M208" t="str">
            <v xml:space="preserve">", </v>
          </cell>
          <cell r="N208" t="str">
            <v xml:space="preserve">category: </v>
          </cell>
          <cell r="O208" t="str">
            <v>"</v>
          </cell>
          <cell r="P208" t="str">
            <v>PRECATECUMENADO</v>
          </cell>
          <cell r="Q208" t="str">
            <v>"</v>
          </cell>
          <cell r="R208" t="str">
            <v>, moments: [</v>
          </cell>
          <cell r="S208" t="str">
            <v>"</v>
          </cell>
          <cell r="T208" t="str">
            <v>Antiguo Testamento</v>
          </cell>
          <cell r="AE208" t="str">
            <v>"], url: "</v>
          </cell>
          <cell r="AF208" t="str">
            <v>/cantos/resucito/s/solaasolo.html</v>
          </cell>
          <cell r="AG208" t="str">
            <v>/cantos/resucito/s/solaasolo.html</v>
          </cell>
          <cell r="AH208" t="str">
            <v>"},</v>
          </cell>
          <cell r="AI208" t="str">
            <v>s</v>
          </cell>
          <cell r="AJ208" t="str">
            <v>p</v>
          </cell>
          <cell r="AK208" t="str">
            <v>{id:207,title: "solaasoloSola a Solo", subtitle: "(Kiko Argüello)", category: "PRECATECUMENADO", moments: ["Antiguo Testamento"], url: "/cantos/resucito/s/solaasolo.html/cantos/resucito/s/solaasolo.html"},</v>
          </cell>
          <cell r="AL208" t="str">
            <v>SOLA A SOLO</v>
          </cell>
          <cell r="AM208" t="str">
            <v>solaasolo</v>
          </cell>
          <cell r="AN208" t="str">
            <v>(Kiko Argüello)</v>
          </cell>
          <cell r="AP208" t="str">
            <v>CANTO</v>
          </cell>
          <cell r="AQ208" t="str">
            <v>SOLA A SOLO</v>
          </cell>
        </row>
        <row r="209">
          <cell r="A209">
            <v>156</v>
          </cell>
          <cell r="B209" t="str">
            <v>{id:</v>
          </cell>
          <cell r="C209">
            <v>208</v>
          </cell>
          <cell r="D209" t="str">
            <v>,</v>
          </cell>
          <cell r="E209" t="str">
            <v xml:space="preserve">title: </v>
          </cell>
          <cell r="F209" t="str">
            <v>"</v>
          </cell>
          <cell r="G209" t="str">
            <v>stabatmaterdolorosa</v>
          </cell>
          <cell r="H209" t="str">
            <v>Stabat Mater dolorosa</v>
          </cell>
          <cell r="I209" t="str">
            <v>",</v>
          </cell>
          <cell r="J209" t="str">
            <v xml:space="preserve"> subtitle: </v>
          </cell>
          <cell r="K209" t="str">
            <v>"</v>
          </cell>
          <cell r="L209" t="str">
            <v>Himno latin</v>
          </cell>
          <cell r="M209" t="str">
            <v xml:space="preserve">", </v>
          </cell>
          <cell r="N209" t="str">
            <v xml:space="preserve">category: </v>
          </cell>
          <cell r="O209" t="str">
            <v>"</v>
          </cell>
          <cell r="P209" t="str">
            <v>PRECATECUMENADO</v>
          </cell>
          <cell r="Q209" t="str">
            <v>"</v>
          </cell>
          <cell r="R209" t="str">
            <v>, moments: [</v>
          </cell>
          <cell r="S209" t="str">
            <v>"</v>
          </cell>
          <cell r="T209" t="str">
            <v>Cuaresma</v>
          </cell>
          <cell r="U209" t="str">
            <v>", "</v>
          </cell>
          <cell r="V209" t="str">
            <v>Antiguo Testamento</v>
          </cell>
          <cell r="AE209" t="str">
            <v>"], url: "</v>
          </cell>
          <cell r="AF209" t="str">
            <v>/cantos/resucito/s/stabatmaterdolorosa.html</v>
          </cell>
          <cell r="AG209" t="str">
            <v>/cantos/resucito/s/stabatmaterdolorosa.html</v>
          </cell>
          <cell r="AH209" t="str">
            <v>"},</v>
          </cell>
          <cell r="AI209" t="str">
            <v>s</v>
          </cell>
          <cell r="AJ209" t="str">
            <v>p</v>
          </cell>
          <cell r="AK209" t="str">
            <v>{id:208,title: "stabatmaterdolorosaStabat Mater dolorosa", subtitle: "Himno latin", category: "PRECATECUMENADO", moments: ["Cuaresma", "Antiguo Testamento"], url: "/cantos/resucito/s/stabatmaterdolorosa.html/cantos/resucito/s/stabatmaterdolorosa.html"},</v>
          </cell>
          <cell r="AL209" t="str">
            <v>STABAT MATER DOLOROSA</v>
          </cell>
          <cell r="AM209" t="str">
            <v>stabatmaterdolorosa</v>
          </cell>
          <cell r="AN209" t="str">
            <v>Himno latin</v>
          </cell>
          <cell r="AP209" t="str">
            <v>CANTO</v>
          </cell>
          <cell r="AQ209" t="str">
            <v>STABAT MATER DOLOROSA</v>
          </cell>
        </row>
        <row r="210">
          <cell r="A210">
            <v>244</v>
          </cell>
          <cell r="B210" t="str">
            <v>{id:</v>
          </cell>
          <cell r="C210">
            <v>209</v>
          </cell>
          <cell r="D210" t="str">
            <v>,</v>
          </cell>
          <cell r="E210" t="str">
            <v xml:space="preserve">title: </v>
          </cell>
          <cell r="F210" t="str">
            <v>"</v>
          </cell>
          <cell r="G210" t="str">
            <v>subaelesposoallenodesutalamo</v>
          </cell>
          <cell r="H210" t="str">
            <v>Suba el Esposo al leño de su tálamo</v>
          </cell>
          <cell r="I210" t="str">
            <v>",</v>
          </cell>
          <cell r="J210" t="str">
            <v xml:space="preserve"> subtitle: </v>
          </cell>
          <cell r="K210" t="str">
            <v>"</v>
          </cell>
          <cell r="L210" t="str">
            <v>Himno (San Quodvultdeus)</v>
          </cell>
          <cell r="M210" t="str">
            <v xml:space="preserve">", </v>
          </cell>
          <cell r="N210" t="str">
            <v xml:space="preserve">category: </v>
          </cell>
          <cell r="O210" t="str">
            <v>"</v>
          </cell>
          <cell r="P210" t="str">
            <v>ELECCIÓN</v>
          </cell>
          <cell r="Q210" t="str">
            <v>"</v>
          </cell>
          <cell r="R210" t="str">
            <v>, moments: [</v>
          </cell>
          <cell r="S210" t="str">
            <v>"</v>
          </cell>
          <cell r="T210" t="str">
            <v>Cuaresma</v>
          </cell>
          <cell r="U210" t="str">
            <v>", "</v>
          </cell>
          <cell r="V210" t="str">
            <v>Antiguo Testamento</v>
          </cell>
          <cell r="AE210" t="str">
            <v>"], url: "</v>
          </cell>
          <cell r="AF210" t="str">
            <v>/cantos/resucito/s/subaelesposoallenodesutalamo.html</v>
          </cell>
          <cell r="AG210" t="str">
            <v>/cantos/resucito/s/subaelesposoallenodesutalamo.html</v>
          </cell>
          <cell r="AH210" t="str">
            <v>"},</v>
          </cell>
          <cell r="AI210" t="str">
            <v>s</v>
          </cell>
          <cell r="AJ210" t="str">
            <v>e</v>
          </cell>
          <cell r="AK210" t="str">
            <v>{id:209,title: "subaelesposoallenodesutalamoSuba el Esposo al leño de su tálamo", subtitle: "Himno (San Quodvultdeus)", category: "ELECCIÓN", moments: ["Cuaresma", "Antiguo Testamento"], url: "/cantos/resucito/s/subaelesposoallenodesutalamo.html/cantos/resucito/s/subaelesposoallenodesutalamo.html"},</v>
          </cell>
          <cell r="AL210" t="str">
            <v>SUBA EL ESPOSO AL LEÑO DE SU TÁLAMO</v>
          </cell>
          <cell r="AM210" t="str">
            <v>subaelesposoalleñodesutálamo</v>
          </cell>
          <cell r="AN210" t="str">
            <v>Himno (San Quodvultdeus)</v>
          </cell>
          <cell r="AP210" t="str">
            <v>CANTO</v>
          </cell>
          <cell r="AQ210" t="str">
            <v>SUBA EL ESPOSO AL LEÑO DE SU TÁLAMO</v>
          </cell>
        </row>
        <row r="211">
          <cell r="A211">
            <v>157</v>
          </cell>
          <cell r="B211" t="str">
            <v>{id:</v>
          </cell>
          <cell r="C211">
            <v>210</v>
          </cell>
          <cell r="D211" t="str">
            <v>,</v>
          </cell>
          <cell r="E211" t="str">
            <v xml:space="preserve">title: </v>
          </cell>
          <cell r="F211" t="str">
            <v>"</v>
          </cell>
          <cell r="G211" t="str">
            <v>subediosentreaclamaciones</v>
          </cell>
          <cell r="H211" t="str">
            <v>Sube Dios entre aclamaciones</v>
          </cell>
          <cell r="I211" t="str">
            <v>",</v>
          </cell>
          <cell r="J211" t="str">
            <v xml:space="preserve"> subtitle: </v>
          </cell>
          <cell r="K211" t="str">
            <v>"</v>
          </cell>
          <cell r="L211" t="str">
            <v>Sal 47 (46)</v>
          </cell>
          <cell r="M211" t="str">
            <v xml:space="preserve">", </v>
          </cell>
          <cell r="N211" t="str">
            <v xml:space="preserve">category: </v>
          </cell>
          <cell r="O211" t="str">
            <v>"</v>
          </cell>
          <cell r="P211" t="str">
            <v>PRECATECUMENADO</v>
          </cell>
          <cell r="Q211" t="str">
            <v>"</v>
          </cell>
          <cell r="R211" t="str">
            <v>, moments: [</v>
          </cell>
          <cell r="S211" t="str">
            <v>"</v>
          </cell>
          <cell r="T211" t="str">
            <v>Final</v>
          </cell>
          <cell r="U211" t="str">
            <v>", "</v>
          </cell>
          <cell r="V211" t="str">
            <v>Antiguo Testamento</v>
          </cell>
          <cell r="AE211" t="str">
            <v>"], url: "</v>
          </cell>
          <cell r="AF211" t="str">
            <v>/cantos/resucito/s/subediosentreaclamaciones.html</v>
          </cell>
          <cell r="AG211" t="str">
            <v>/cantos/resucito/s/subediosentreaclamaciones.html</v>
          </cell>
          <cell r="AH211" t="str">
            <v>"},</v>
          </cell>
          <cell r="AI211" t="str">
            <v>s</v>
          </cell>
          <cell r="AJ211" t="str">
            <v>p</v>
          </cell>
          <cell r="AK211" t="str">
            <v>{id:210,title: "subediosentreaclamacionesSube Dios entre aclamaciones", subtitle: "Sal 47 (46)", category: "PRECATECUMENADO", moments: ["Final", "Antiguo Testamento"], url: "/cantos/resucito/s/subediosentreaclamaciones.html/cantos/resucito/s/subediosentreaclamaciones.html"},</v>
          </cell>
          <cell r="AL211" t="str">
            <v>SUBE DIOS ENTRE ACLAMACIONES</v>
          </cell>
          <cell r="AM211" t="str">
            <v>subediosentreaclamaciones</v>
          </cell>
          <cell r="AN211" t="str">
            <v>Sal 47 (46)</v>
          </cell>
          <cell r="AP211" t="str">
            <v>CANTO</v>
          </cell>
          <cell r="AQ211" t="str">
            <v>SUBE DIOS ENTRE ACLAMACIONES</v>
          </cell>
        </row>
        <row r="212">
          <cell r="A212">
            <v>220</v>
          </cell>
          <cell r="B212" t="str">
            <v>{id:</v>
          </cell>
          <cell r="C212">
            <v>211</v>
          </cell>
          <cell r="D212" t="str">
            <v>,</v>
          </cell>
          <cell r="E212" t="str">
            <v xml:space="preserve">title: </v>
          </cell>
          <cell r="F212" t="str">
            <v>"</v>
          </cell>
          <cell r="G212" t="str">
            <v>tedeum</v>
          </cell>
          <cell r="H212" t="str">
            <v>Te Deum</v>
          </cell>
          <cell r="I212" t="str">
            <v>",</v>
          </cell>
          <cell r="J212" t="str">
            <v xml:space="preserve"> subtitle: </v>
          </cell>
          <cell r="K212" t="str">
            <v>"</v>
          </cell>
          <cell r="L212" t="str">
            <v>Himno</v>
          </cell>
          <cell r="M212" t="str">
            <v xml:space="preserve">", </v>
          </cell>
          <cell r="N212" t="str">
            <v xml:space="preserve">category: </v>
          </cell>
          <cell r="O212" t="str">
            <v>"</v>
          </cell>
          <cell r="P212" t="str">
            <v>LITÚRGICOS</v>
          </cell>
          <cell r="Q212" t="str">
            <v>"</v>
          </cell>
          <cell r="R212" t="str">
            <v>, moments: [</v>
          </cell>
          <cell r="S212" t="str">
            <v>"</v>
          </cell>
          <cell r="T212" t="str">
            <v>Virgen</v>
          </cell>
          <cell r="AE212" t="str">
            <v>"], url: "</v>
          </cell>
          <cell r="AF212" t="str">
            <v>/cantos/resucito/t/tedeum.html</v>
          </cell>
          <cell r="AG212" t="str">
            <v>/cantos/resucito/t/tedeum.html</v>
          </cell>
          <cell r="AH212" t="str">
            <v>"},</v>
          </cell>
          <cell r="AI212" t="str">
            <v>t</v>
          </cell>
          <cell r="AJ212" t="str">
            <v>l</v>
          </cell>
          <cell r="AK212" t="str">
            <v>{id:211,title: "tedeumTe Deum", subtitle: "Himno", category: "LITÚRGICOS", moments: ["Virgen"], url: "/cantos/resucito/t/tedeum.html/cantos/resucito/t/tedeum.html"},</v>
          </cell>
          <cell r="AL212" t="str">
            <v>TE DEUM</v>
          </cell>
          <cell r="AM212" t="str">
            <v>tedeum</v>
          </cell>
          <cell r="AN212" t="str">
            <v>Himno</v>
          </cell>
          <cell r="AP212" t="str">
            <v>CANTO</v>
          </cell>
          <cell r="AQ212" t="str">
            <v>TE DEUM</v>
          </cell>
        </row>
        <row r="213">
          <cell r="A213">
            <v>158</v>
          </cell>
          <cell r="B213" t="str">
            <v>{id:</v>
          </cell>
          <cell r="C213">
            <v>212</v>
          </cell>
          <cell r="D213" t="str">
            <v>,</v>
          </cell>
          <cell r="E213" t="str">
            <v xml:space="preserve">title: </v>
          </cell>
          <cell r="F213" t="str">
            <v>"</v>
          </cell>
          <cell r="G213" t="str">
            <v>teestoyllamandosenor</v>
          </cell>
          <cell r="H213" t="str">
            <v>Te estoy llamando, Señor</v>
          </cell>
          <cell r="I213" t="str">
            <v>",</v>
          </cell>
          <cell r="J213" t="str">
            <v xml:space="preserve"> subtitle: </v>
          </cell>
          <cell r="K213" t="str">
            <v>"</v>
          </cell>
          <cell r="L213" t="str">
            <v>Sal 141 (140)</v>
          </cell>
          <cell r="M213" t="str">
            <v xml:space="preserve">", </v>
          </cell>
          <cell r="N213" t="str">
            <v xml:space="preserve">category: </v>
          </cell>
          <cell r="O213" t="str">
            <v>"</v>
          </cell>
          <cell r="P213" t="str">
            <v>PRECATECUMENADO</v>
          </cell>
          <cell r="Q213" t="str">
            <v>"</v>
          </cell>
          <cell r="R213" t="str">
            <v>, moments: [</v>
          </cell>
          <cell r="S213" t="str">
            <v>"</v>
          </cell>
          <cell r="T213" t="str">
            <v>Cuaresma</v>
          </cell>
          <cell r="U213" t="str">
            <v>", "</v>
          </cell>
          <cell r="V213" t="str">
            <v>Virgen</v>
          </cell>
          <cell r="AE213" t="str">
            <v>"], url: "</v>
          </cell>
          <cell r="AF213" t="str">
            <v>/cantos/resucito/t/teestoyllamandosenor.html</v>
          </cell>
          <cell r="AG213" t="str">
            <v>/cantos/resucito/t/teestoyllamandosenor.html</v>
          </cell>
          <cell r="AH213" t="str">
            <v>"},</v>
          </cell>
          <cell r="AI213" t="str">
            <v>t</v>
          </cell>
          <cell r="AJ213" t="str">
            <v>p</v>
          </cell>
          <cell r="AK213" t="str">
            <v>{id:212,title: "teestoyllamandosenorTe estoy llamando, Señor", subtitle: "Sal 141 (140)", category: "PRECATECUMENADO", moments: ["Cuaresma", "Virgen"], url: "/cantos/resucito/t/teestoyllamandosenor.html/cantos/resucito/t/teestoyllamandosenor.html"},</v>
          </cell>
          <cell r="AL213" t="str">
            <v>TE ESTOY LLAMANDO, SEÑOR</v>
          </cell>
          <cell r="AM213" t="str">
            <v>teestoyllamando,señor</v>
          </cell>
          <cell r="AN213" t="str">
            <v>Sal 141 (140)</v>
          </cell>
          <cell r="AP213" t="str">
            <v>CANTO</v>
          </cell>
          <cell r="AQ213" t="str">
            <v>TE ESTOY LLAMANDO, SEÑOR</v>
          </cell>
        </row>
        <row r="214">
          <cell r="A214">
            <v>159</v>
          </cell>
          <cell r="B214" t="str">
            <v>{id:</v>
          </cell>
          <cell r="C214">
            <v>213</v>
          </cell>
          <cell r="D214" t="str">
            <v>,</v>
          </cell>
          <cell r="E214" t="str">
            <v xml:space="preserve">title: </v>
          </cell>
          <cell r="F214" t="str">
            <v>"</v>
          </cell>
          <cell r="G214" t="str">
            <v>tehemanifestadomipecado</v>
          </cell>
          <cell r="H214" t="str">
            <v>Te he manifestado mi pecado</v>
          </cell>
          <cell r="I214" t="str">
            <v>",</v>
          </cell>
          <cell r="J214" t="str">
            <v xml:space="preserve"> subtitle: </v>
          </cell>
          <cell r="K214" t="str">
            <v>"</v>
          </cell>
          <cell r="L214" t="str">
            <v>Sal 32 (31)</v>
          </cell>
          <cell r="M214" t="str">
            <v xml:space="preserve">", </v>
          </cell>
          <cell r="N214" t="str">
            <v xml:space="preserve">category: </v>
          </cell>
          <cell r="O214" t="str">
            <v>"</v>
          </cell>
          <cell r="P214" t="str">
            <v>PRECATECUMENADO</v>
          </cell>
          <cell r="Q214" t="str">
            <v>"</v>
          </cell>
          <cell r="R214" t="str">
            <v>, moments: [</v>
          </cell>
          <cell r="S214" t="str">
            <v>"</v>
          </cell>
          <cell r="T214" t="str">
            <v>Pascua</v>
          </cell>
          <cell r="AE214" t="str">
            <v>"], url: "</v>
          </cell>
          <cell r="AF214" t="str">
            <v>/cantos/resucito/t/tehemanifestadomipecado.html</v>
          </cell>
          <cell r="AG214" t="str">
            <v>/cantos/resucito/t/tehemanifestadomipecado.html</v>
          </cell>
          <cell r="AH214" t="str">
            <v>"},</v>
          </cell>
          <cell r="AI214" t="str">
            <v>t</v>
          </cell>
          <cell r="AJ214" t="str">
            <v>p</v>
          </cell>
          <cell r="AK214" t="str">
            <v>{id:213,title: "tehemanifestadomipecadoTe he manifestado mi pecado", subtitle: "Sal 32 (31)", category: "PRECATECUMENADO", moments: ["Pascua"], url: "/cantos/resucito/t/tehemanifestadomipecado.html/cantos/resucito/t/tehemanifestadomipecado.html"},</v>
          </cell>
          <cell r="AL214" t="str">
            <v>TE HE MANIFESTADO MI PECADO</v>
          </cell>
          <cell r="AM214" t="str">
            <v>tehemanifestadomipecado</v>
          </cell>
          <cell r="AN214" t="str">
            <v>Sal 32 (31)</v>
          </cell>
          <cell r="AP214" t="str">
            <v>CANTO</v>
          </cell>
          <cell r="AQ214" t="str">
            <v>TE HE MANIFESTADO MI PECADO</v>
          </cell>
        </row>
        <row r="215">
          <cell r="A215">
            <v>236</v>
          </cell>
          <cell r="B215" t="str">
            <v>{id:</v>
          </cell>
          <cell r="C215">
            <v>214</v>
          </cell>
          <cell r="D215" t="str">
            <v>,</v>
          </cell>
          <cell r="E215" t="str">
            <v xml:space="preserve">title: </v>
          </cell>
          <cell r="F215" t="str">
            <v>"</v>
          </cell>
          <cell r="G215" t="str">
            <v>tueresmiesperanzasenor</v>
          </cell>
          <cell r="H215" t="str">
            <v>Tú eres mi esperanza, Señor</v>
          </cell>
          <cell r="I215" t="str">
            <v>",</v>
          </cell>
          <cell r="J215" t="str">
            <v xml:space="preserve"> subtitle: </v>
          </cell>
          <cell r="K215" t="str">
            <v>"</v>
          </cell>
          <cell r="L215" t="str">
            <v>Oda XXIX de Salomón</v>
          </cell>
          <cell r="M215" t="str">
            <v xml:space="preserve">", </v>
          </cell>
          <cell r="N215" t="str">
            <v xml:space="preserve">category: </v>
          </cell>
          <cell r="O215" t="str">
            <v>"</v>
          </cell>
          <cell r="P215" t="str">
            <v>CATECUMENADO</v>
          </cell>
          <cell r="Q215" t="str">
            <v>"</v>
          </cell>
          <cell r="R215" t="str">
            <v>, moments: [</v>
          </cell>
          <cell r="S215" t="str">
            <v>"</v>
          </cell>
          <cell r="T215" t="str">
            <v>Pascua</v>
          </cell>
          <cell r="U215" t="str">
            <v>", "</v>
          </cell>
          <cell r="V215" t="str">
            <v>Pentecostés</v>
          </cell>
          <cell r="W215" t="str">
            <v>", "</v>
          </cell>
          <cell r="X215" t="str">
            <v>Paz</v>
          </cell>
          <cell r="AE215" t="str">
            <v>"], url: "</v>
          </cell>
          <cell r="AF215" t="str">
            <v>/cantos/resucito/t/tueresmiesperanzasenor.html</v>
          </cell>
          <cell r="AG215" t="str">
            <v>/cantos/resucito/t/tueresmiesperanzasenor.html</v>
          </cell>
          <cell r="AH215" t="str">
            <v>"},</v>
          </cell>
          <cell r="AI215" t="str">
            <v>t</v>
          </cell>
          <cell r="AJ215" t="str">
            <v>c</v>
          </cell>
          <cell r="AK215" t="str">
            <v>{id:214,title: "tueresmiesperanzasenorTú eres mi esperanza, Señor", subtitle: "Oda XXIX de Salomón", category: "CATECUMENADO", moments: ["Pascua", "Pentecostés", "Paz"], url: "/cantos/resucito/t/tueresmiesperanzasenor.html/cantos/resucito/t/tueresmiesperanzasenor.html"},</v>
          </cell>
          <cell r="AL215" t="str">
            <v>TÚ ERES MI ESPERANZA, SEÑOR</v>
          </cell>
          <cell r="AM215" t="str">
            <v>túeresmiesperanza,señor</v>
          </cell>
          <cell r="AN215" t="str">
            <v>Oda XXIX de Salomón</v>
          </cell>
          <cell r="AP215" t="str">
            <v>CANTO</v>
          </cell>
          <cell r="AQ215" t="str">
            <v>TÚ ERES MI ESPERANZA, SEÑOR</v>
          </cell>
        </row>
        <row r="216">
          <cell r="A216">
            <v>160</v>
          </cell>
          <cell r="B216" t="str">
            <v>{id:</v>
          </cell>
          <cell r="C216">
            <v>215</v>
          </cell>
          <cell r="D216" t="str">
            <v>,</v>
          </cell>
          <cell r="E216" t="str">
            <v xml:space="preserve">title: </v>
          </cell>
          <cell r="F216" t="str">
            <v>"</v>
          </cell>
          <cell r="G216" t="str">
            <v>tuhascubiertodevergüenzalamuerte</v>
          </cell>
          <cell r="H216" t="str">
            <v>Tú has cubierto de vergüenza la muerte</v>
          </cell>
          <cell r="I216" t="str">
            <v>",</v>
          </cell>
          <cell r="J216" t="str">
            <v xml:space="preserve"> subtitle: </v>
          </cell>
          <cell r="K216" t="str">
            <v>"</v>
          </cell>
          <cell r="L216" t="str">
            <v>Homilía Pascual (Melltón de Sardes)</v>
          </cell>
          <cell r="M216" t="str">
            <v xml:space="preserve">", </v>
          </cell>
          <cell r="N216" t="str">
            <v xml:space="preserve">category: </v>
          </cell>
          <cell r="O216" t="str">
            <v>"</v>
          </cell>
          <cell r="P216" t="str">
            <v>PRECATECUMENADO</v>
          </cell>
          <cell r="Q216" t="str">
            <v>"</v>
          </cell>
          <cell r="R216" t="str">
            <v>, moments: [</v>
          </cell>
          <cell r="S216" t="str">
            <v>"</v>
          </cell>
          <cell r="T216" t="str">
            <v>Laudes/Visperas</v>
          </cell>
          <cell r="AE216" t="str">
            <v>"], url: "</v>
          </cell>
          <cell r="AF216" t="str">
            <v>/cantos/resucito/t/tuhascubiertodevergüenzalamuerte.html</v>
          </cell>
          <cell r="AG216" t="str">
            <v>/cantos/resucito/t/tuhascubiertodevergüenzalamuerte.html</v>
          </cell>
          <cell r="AH216" t="str">
            <v>"},</v>
          </cell>
          <cell r="AI216" t="str">
            <v>t</v>
          </cell>
          <cell r="AJ216" t="str">
            <v>p</v>
          </cell>
          <cell r="AK216" t="str">
            <v>{id:215,title: "tuhascubiertodevergüenzalamuerteTú has cubierto de vergüenza la muerte", subtitle: "Homilía Pascual (Melltón de Sardes)", category: "PRECATECUMENADO", moments: ["Laudes/Visperas"], url: "/cantos/resucito/t/tuhascubiertodevergüenzalamuerte.html/cantos/resucito/t/tuhascubiertodevergüenzalamuerte.html"},</v>
          </cell>
          <cell r="AL216" t="str">
            <v>TÚ HAS CUBIERTO DE VERGÜENZA LA MUERTE</v>
          </cell>
          <cell r="AM216" t="str">
            <v>túhascubiertodevergüenzalamuerte</v>
          </cell>
          <cell r="AN216" t="str">
            <v>Homilía Pascual (Melltón de Sardes)</v>
          </cell>
          <cell r="AP216" t="str">
            <v>CANTO</v>
          </cell>
          <cell r="AQ216" t="str">
            <v>TÚ HAS CUBIERTO DE VERGÜENZA LA MUERTE</v>
          </cell>
        </row>
        <row r="217">
          <cell r="A217">
            <v>161</v>
          </cell>
          <cell r="B217" t="str">
            <v>{id:</v>
          </cell>
          <cell r="C217">
            <v>216</v>
          </cell>
          <cell r="D217" t="str">
            <v>,</v>
          </cell>
          <cell r="E217" t="str">
            <v xml:space="preserve">title: </v>
          </cell>
          <cell r="F217" t="str">
            <v>"</v>
          </cell>
          <cell r="G217" t="str">
            <v>tuqueeresfiel</v>
          </cell>
          <cell r="H217" t="str">
            <v>Tú que eres fiel</v>
          </cell>
          <cell r="I217" t="str">
            <v>",</v>
          </cell>
          <cell r="J217" t="str">
            <v xml:space="preserve"> subtitle: </v>
          </cell>
          <cell r="K217" t="str">
            <v>"</v>
          </cell>
          <cell r="L217" t="str">
            <v>Sal 143 (142)</v>
          </cell>
          <cell r="M217" t="str">
            <v xml:space="preserve">", </v>
          </cell>
          <cell r="N217" t="str">
            <v xml:space="preserve">category: </v>
          </cell>
          <cell r="O217" t="str">
            <v>"</v>
          </cell>
          <cell r="P217" t="str">
            <v>PRECATECUMENADO</v>
          </cell>
          <cell r="Q217" t="str">
            <v>"</v>
          </cell>
          <cell r="R217" t="str">
            <v>, moments: [</v>
          </cell>
          <cell r="S217" t="str">
            <v>"</v>
          </cell>
          <cell r="T217" t="str">
            <v>Antiguo Testamento</v>
          </cell>
          <cell r="AE217" t="str">
            <v>"], url: "</v>
          </cell>
          <cell r="AF217" t="str">
            <v>/cantos/resucito/t/tuqueeresfiel.html</v>
          </cell>
          <cell r="AG217" t="str">
            <v>/cantos/resucito/t/tuqueeresfiel.html</v>
          </cell>
          <cell r="AH217" t="str">
            <v>"},</v>
          </cell>
          <cell r="AI217" t="str">
            <v>t</v>
          </cell>
          <cell r="AJ217" t="str">
            <v>p</v>
          </cell>
          <cell r="AK217" t="str">
            <v>{id:216,title: "tuqueeresfielTú que eres fiel", subtitle: "Sal 143 (142)", category: "PRECATECUMENADO", moments: ["Antiguo Testamento"], url: "/cantos/resucito/t/tuqueeresfiel.html/cantos/resucito/t/tuqueeresfiel.html"},</v>
          </cell>
          <cell r="AL217" t="str">
            <v>TÚ QUE ERES FIEL</v>
          </cell>
          <cell r="AM217" t="str">
            <v>túqueeresfiel</v>
          </cell>
          <cell r="AN217" t="str">
            <v>Sal 143 (142)</v>
          </cell>
          <cell r="AP217" t="str">
            <v>CANTO</v>
          </cell>
          <cell r="AQ217" t="str">
            <v>TÚ QUE ERES FIEL</v>
          </cell>
        </row>
        <row r="218">
          <cell r="A218">
            <v>162</v>
          </cell>
          <cell r="B218" t="str">
            <v>{id:</v>
          </cell>
          <cell r="C218">
            <v>217</v>
          </cell>
          <cell r="D218" t="str">
            <v>,</v>
          </cell>
          <cell r="E218" t="str">
            <v xml:space="preserve">title: </v>
          </cell>
          <cell r="F218" t="str">
            <v>"</v>
          </cell>
          <cell r="G218" t="str">
            <v>unretonobrotadeltroncodejese</v>
          </cell>
          <cell r="H218" t="str">
            <v>Un retoño brota del tronco de Jesé</v>
          </cell>
          <cell r="I218" t="str">
            <v>",</v>
          </cell>
          <cell r="J218" t="str">
            <v xml:space="preserve"> subtitle: </v>
          </cell>
          <cell r="K218" t="str">
            <v>"</v>
          </cell>
          <cell r="L218" t="str">
            <v>Isaías 11,1-11</v>
          </cell>
          <cell r="M218" t="str">
            <v xml:space="preserve">", </v>
          </cell>
          <cell r="N218" t="str">
            <v xml:space="preserve">category: </v>
          </cell>
          <cell r="O218" t="str">
            <v>"</v>
          </cell>
          <cell r="P218" t="str">
            <v>PRECATECUMENADO</v>
          </cell>
          <cell r="Q218" t="str">
            <v>"</v>
          </cell>
          <cell r="R218" t="str">
            <v>, moments: [</v>
          </cell>
          <cell r="S218" t="str">
            <v>"</v>
          </cell>
          <cell r="T218" t="str">
            <v>Cuaresma</v>
          </cell>
          <cell r="U218" t="str">
            <v>", "</v>
          </cell>
          <cell r="V218" t="str">
            <v>Antiguo Testamento</v>
          </cell>
          <cell r="AE218" t="str">
            <v>"], url: "</v>
          </cell>
          <cell r="AF218" t="str">
            <v>/cantos/resucito/u/unretonobrotadeltroncodejese.html</v>
          </cell>
          <cell r="AG218" t="str">
            <v>/cantos/resucito/u/unretonobrotadeltroncodejese.html</v>
          </cell>
          <cell r="AH218" t="str">
            <v>"},</v>
          </cell>
          <cell r="AI218" t="str">
            <v>u</v>
          </cell>
          <cell r="AJ218" t="str">
            <v>p</v>
          </cell>
          <cell r="AK218" t="str">
            <v>{id:217,title: "unretonobrotadeltroncodejeseUn retoño brota del tronco de Jesé", subtitle: "Isaías 11,1-11", category: "PRECATECUMENADO", moments: ["Cuaresma", "Antiguo Testamento"], url: "/cantos/resucito/u/unretonobrotadeltroncodejese.html/cantos/resucito/u/unretonobrotadeltroncodejese.html"},</v>
          </cell>
          <cell r="AL218" t="str">
            <v>UN RETOÑO BROTA DEL TRONCO DE JESÉ</v>
          </cell>
          <cell r="AM218" t="str">
            <v>unretoñobrotadeltroncodejesé</v>
          </cell>
          <cell r="AN218" t="str">
            <v>Isaías 11,1-11</v>
          </cell>
          <cell r="AP218" t="str">
            <v>CANTO</v>
          </cell>
          <cell r="AQ218" t="str">
            <v>UN RETOÑO BROTA DEL TRONCO DE JESÉ</v>
          </cell>
        </row>
        <row r="219">
          <cell r="A219">
            <v>163</v>
          </cell>
          <cell r="B219" t="str">
            <v>{id:</v>
          </cell>
          <cell r="C219">
            <v>218</v>
          </cell>
          <cell r="D219" t="str">
            <v>,</v>
          </cell>
          <cell r="E219" t="str">
            <v xml:space="preserve">title: </v>
          </cell>
          <cell r="F219" t="str">
            <v>"</v>
          </cell>
          <cell r="G219" t="str">
            <v>unagransenal</v>
          </cell>
          <cell r="H219" t="str">
            <v>Una gran señal</v>
          </cell>
          <cell r="I219" t="str">
            <v>",</v>
          </cell>
          <cell r="J219" t="str">
            <v xml:space="preserve"> subtitle: </v>
          </cell>
          <cell r="K219" t="str">
            <v>"</v>
          </cell>
          <cell r="L219" t="str">
            <v>Apocalipsis 12</v>
          </cell>
          <cell r="M219" t="str">
            <v xml:space="preserve">", </v>
          </cell>
          <cell r="N219" t="str">
            <v xml:space="preserve">category: </v>
          </cell>
          <cell r="O219" t="str">
            <v>"</v>
          </cell>
          <cell r="P219" t="str">
            <v>PRECATECUMENADO</v>
          </cell>
          <cell r="Q219" t="str">
            <v>"</v>
          </cell>
          <cell r="R219" t="str">
            <v>, moments: [</v>
          </cell>
          <cell r="S219" t="str">
            <v>"</v>
          </cell>
          <cell r="T219" t="str">
            <v>Adviento</v>
          </cell>
          <cell r="U219" t="str">
            <v>", "</v>
          </cell>
          <cell r="V219" t="str">
            <v>Cuaresma</v>
          </cell>
          <cell r="AE219" t="str">
            <v>"], url: "</v>
          </cell>
          <cell r="AF219" t="str">
            <v>/cantos/resucito/u/unagransenal.html</v>
          </cell>
          <cell r="AG219" t="str">
            <v>/cantos/resucito/u/unagransenal.html</v>
          </cell>
          <cell r="AH219" t="str">
            <v>"},</v>
          </cell>
          <cell r="AI219" t="str">
            <v>u</v>
          </cell>
          <cell r="AJ219" t="str">
            <v>p</v>
          </cell>
          <cell r="AK219" t="str">
            <v>{id:218,title: "unagransenalUna gran señal", subtitle: "Apocalipsis 12", category: "PRECATECUMENADO", moments: ["Adviento", "Cuaresma"], url: "/cantos/resucito/u/unagransenal.html/cantos/resucito/u/unagransenal.html"},</v>
          </cell>
          <cell r="AL219" t="str">
            <v>UNA GRAN SEÑAL</v>
          </cell>
          <cell r="AM219" t="str">
            <v>unagranseñal</v>
          </cell>
          <cell r="AN219" t="str">
            <v>Apocalipsis 12</v>
          </cell>
          <cell r="AP219" t="str">
            <v>CANTO</v>
          </cell>
          <cell r="AQ219" t="str">
            <v>UNA GRAN SEÑAL</v>
          </cell>
        </row>
        <row r="220">
          <cell r="A220">
            <v>164</v>
          </cell>
          <cell r="B220" t="str">
            <v>{id:</v>
          </cell>
          <cell r="C220">
            <v>219</v>
          </cell>
          <cell r="D220" t="str">
            <v>,</v>
          </cell>
          <cell r="E220" t="str">
            <v xml:space="preserve">title: </v>
          </cell>
          <cell r="F220" t="str">
            <v>"</v>
          </cell>
          <cell r="G220" t="str">
            <v>uriuriura</v>
          </cell>
          <cell r="H220" t="str">
            <v>Urí, urí, urá</v>
          </cell>
          <cell r="I220" t="str">
            <v>",</v>
          </cell>
          <cell r="J220" t="str">
            <v xml:space="preserve"> subtitle: </v>
          </cell>
          <cell r="K220" t="str">
            <v>"</v>
          </cell>
          <cell r="L220" t="str">
            <v>Villancico (Kiko Argüello)</v>
          </cell>
          <cell r="M220" t="str">
            <v xml:space="preserve">", </v>
          </cell>
          <cell r="N220" t="str">
            <v xml:space="preserve">category: </v>
          </cell>
          <cell r="O220" t="str">
            <v>"</v>
          </cell>
          <cell r="P220" t="str">
            <v>PRECATECUMENADO</v>
          </cell>
          <cell r="Q220" t="str">
            <v>"</v>
          </cell>
          <cell r="R220" t="str">
            <v>, moments: [</v>
          </cell>
          <cell r="S220" t="str">
            <v>"</v>
          </cell>
          <cell r="T220" t="str">
            <v>Pascua</v>
          </cell>
          <cell r="U220" t="str">
            <v>", "</v>
          </cell>
          <cell r="V220" t="str">
            <v>Virgen</v>
          </cell>
          <cell r="W220" t="str">
            <v>", "</v>
          </cell>
          <cell r="X220" t="str">
            <v>Fracción del Pan</v>
          </cell>
          <cell r="AE220" t="str">
            <v>"], url: "</v>
          </cell>
          <cell r="AF220" t="str">
            <v>/cantos/resucito/u/uriuriura.html</v>
          </cell>
          <cell r="AG220" t="str">
            <v>/cantos/resucito/u/uriuriura.html</v>
          </cell>
          <cell r="AH220" t="str">
            <v>"},</v>
          </cell>
          <cell r="AI220" t="str">
            <v>u</v>
          </cell>
          <cell r="AJ220" t="str">
            <v>p</v>
          </cell>
          <cell r="AK220" t="str">
            <v>{id:219,title: "uriuriuraUrí, urí, urá", subtitle: "Villancico (Kiko Argüello)", category: "PRECATECUMENADO", moments: ["Pascua", "Virgen", "Fracción del Pan"], url: "/cantos/resucito/u/uriuriura.html/cantos/resucito/u/uriuriura.html"},</v>
          </cell>
          <cell r="AL220" t="str">
            <v>URÍ, URÍ, URÁ</v>
          </cell>
          <cell r="AM220" t="str">
            <v>urí,urí,urá</v>
          </cell>
          <cell r="AN220" t="str">
            <v>Villancico (Kiko Argüello)</v>
          </cell>
          <cell r="AP220" t="str">
            <v>CANTO</v>
          </cell>
          <cell r="AQ220" t="str">
            <v>URÍ, URÍ, URÁ</v>
          </cell>
        </row>
        <row r="221">
          <cell r="A221">
            <v>165</v>
          </cell>
          <cell r="B221" t="str">
            <v>{id:</v>
          </cell>
          <cell r="C221">
            <v>220</v>
          </cell>
          <cell r="D221" t="str">
            <v>,</v>
          </cell>
          <cell r="E221" t="str">
            <v xml:space="preserve">title: </v>
          </cell>
          <cell r="F221" t="str">
            <v>"</v>
          </cell>
          <cell r="G221" t="str">
            <v>vamosyapastores</v>
          </cell>
          <cell r="H221" t="str">
            <v>Vamos ya, pastores</v>
          </cell>
          <cell r="I221" t="str">
            <v>",</v>
          </cell>
          <cell r="J221" t="str">
            <v xml:space="preserve"> subtitle: </v>
          </cell>
          <cell r="K221" t="str">
            <v>"</v>
          </cell>
          <cell r="L221" t="str">
            <v>Villancico (Kiko Argüello)</v>
          </cell>
          <cell r="M221" t="str">
            <v xml:space="preserve">", </v>
          </cell>
          <cell r="N221" t="str">
            <v xml:space="preserve">category: </v>
          </cell>
          <cell r="O221" t="str">
            <v>"</v>
          </cell>
          <cell r="P221" t="str">
            <v>PRECATECUMENADO</v>
          </cell>
          <cell r="Q221" t="str">
            <v>"</v>
          </cell>
          <cell r="R221" t="str">
            <v>, moments: [</v>
          </cell>
          <cell r="S221" t="str">
            <v>"</v>
          </cell>
          <cell r="T221" t="str">
            <v>Cuaresma</v>
          </cell>
          <cell r="U221" t="str">
            <v>", "</v>
          </cell>
          <cell r="V221" t="str">
            <v>Entrada</v>
          </cell>
          <cell r="W221" t="str">
            <v>", "</v>
          </cell>
          <cell r="X221" t="str">
            <v>Antiguo Testamento</v>
          </cell>
          <cell r="AE221" t="str">
            <v>"], url: "</v>
          </cell>
          <cell r="AF221" t="str">
            <v>/cantos/resucito/v/vamosyapastores.html</v>
          </cell>
          <cell r="AG221" t="str">
            <v>/cantos/resucito/v/vamosyapastores.html</v>
          </cell>
          <cell r="AH221" t="str">
            <v>"},</v>
          </cell>
          <cell r="AI221" t="str">
            <v>v</v>
          </cell>
          <cell r="AJ221" t="str">
            <v>p</v>
          </cell>
          <cell r="AK221" t="str">
            <v>{id:220,title: "vamosyapastoresVamos ya, pastores", subtitle: "Villancico (Kiko Argüello)", category: "PRECATECUMENADO", moments: ["Cuaresma", "Entrada", "Antiguo Testamento"], url: "/cantos/resucito/v/vamosyapastores.html/cantos/resucito/v/vamosyapastores.html"},</v>
          </cell>
          <cell r="AL221" t="str">
            <v>VAMOS YA, PASTORES</v>
          </cell>
          <cell r="AM221" t="str">
            <v>vamosya,pastores</v>
          </cell>
          <cell r="AN221" t="str">
            <v>Villancico (Kiko Argüello)</v>
          </cell>
          <cell r="AP221" t="str">
            <v>CANTO</v>
          </cell>
          <cell r="AQ221" t="str">
            <v>VAMOS YA, PASTORES</v>
          </cell>
        </row>
        <row r="222">
          <cell r="A222">
            <v>166</v>
          </cell>
          <cell r="B222" t="str">
            <v>{id:</v>
          </cell>
          <cell r="C222">
            <v>221</v>
          </cell>
          <cell r="D222" t="str">
            <v>,</v>
          </cell>
          <cell r="E222" t="str">
            <v xml:space="preserve">title: </v>
          </cell>
          <cell r="F222" t="str">
            <v>"</v>
          </cell>
          <cell r="G222" t="str">
            <v>vendellibano</v>
          </cell>
          <cell r="H222" t="str">
            <v>Ven del Líbano</v>
          </cell>
          <cell r="I222" t="str">
            <v>",</v>
          </cell>
          <cell r="J222" t="str">
            <v xml:space="preserve"> subtitle: </v>
          </cell>
          <cell r="K222" t="str">
            <v>"</v>
          </cell>
          <cell r="L222" t="str">
            <v>Cantar de los cantares 4,8ss</v>
          </cell>
          <cell r="M222" t="str">
            <v xml:space="preserve">", </v>
          </cell>
          <cell r="N222" t="str">
            <v xml:space="preserve">category: </v>
          </cell>
          <cell r="O222" t="str">
            <v>"</v>
          </cell>
          <cell r="P222" t="str">
            <v>PRECATECUMENADO</v>
          </cell>
          <cell r="Q222" t="str">
            <v>"</v>
          </cell>
          <cell r="R222" t="str">
            <v>, moments: [</v>
          </cell>
          <cell r="S222" t="str">
            <v>"</v>
          </cell>
          <cell r="T222" t="str">
            <v>Navidad</v>
          </cell>
          <cell r="U222" t="str">
            <v>", "</v>
          </cell>
          <cell r="V222" t="str">
            <v>Pentecostés</v>
          </cell>
          <cell r="W222" t="str">
            <v>", "</v>
          </cell>
          <cell r="X222" t="str">
            <v>Comunión</v>
          </cell>
          <cell r="Y222" t="str">
            <v>", "</v>
          </cell>
          <cell r="Z222" t="str">
            <v>Antiguo Testamento</v>
          </cell>
          <cell r="AE222" t="str">
            <v>"], url: "</v>
          </cell>
          <cell r="AF222" t="str">
            <v>/cantos/resucito/v/vendellibano.html</v>
          </cell>
          <cell r="AG222" t="str">
            <v>/cantos/resucito/v/vendellibano.html</v>
          </cell>
          <cell r="AH222" t="str">
            <v>"},</v>
          </cell>
          <cell r="AI222" t="str">
            <v>v</v>
          </cell>
          <cell r="AJ222" t="str">
            <v>p</v>
          </cell>
          <cell r="AK222" t="str">
            <v>{id:221,title: "vendellibanoVen del Líbano", subtitle: "Cantar de los cantares 4,8ss", category: "PRECATECUMENADO", moments: ["Navidad", "Pentecostés", "Comunión", "Antiguo Testamento"], url: "/cantos/resucito/v/vendellibano.html/cantos/resucito/v/vendellibano.html"},</v>
          </cell>
          <cell r="AL222" t="str">
            <v>VEN DEL LÍBANO</v>
          </cell>
          <cell r="AM222" t="str">
            <v>vendellíbano</v>
          </cell>
          <cell r="AN222" t="str">
            <v>Cantar de los cantares 4,8ss</v>
          </cell>
          <cell r="AP222" t="str">
            <v>CANTO</v>
          </cell>
          <cell r="AQ222" t="str">
            <v>VEN DEL LÍBANO</v>
          </cell>
        </row>
        <row r="223">
          <cell r="A223">
            <v>167</v>
          </cell>
          <cell r="B223" t="str">
            <v>{id:</v>
          </cell>
          <cell r="C223">
            <v>222</v>
          </cell>
          <cell r="D223" t="str">
            <v>,</v>
          </cell>
          <cell r="E223" t="str">
            <v xml:space="preserve">title: </v>
          </cell>
          <cell r="F223" t="str">
            <v>"</v>
          </cell>
          <cell r="G223" t="str">
            <v>venespiritusanto</v>
          </cell>
          <cell r="H223" t="str">
            <v>Ven, Espíritu Santo</v>
          </cell>
          <cell r="I223" t="str">
            <v>",</v>
          </cell>
          <cell r="J223" t="str">
            <v xml:space="preserve"> subtitle: </v>
          </cell>
          <cell r="K223" t="str">
            <v>"</v>
          </cell>
          <cell r="L223" t="str">
            <v>Secuencia de Pentecostés - Himno latin. «Veni, Sancte Spiritus»</v>
          </cell>
          <cell r="M223" t="str">
            <v xml:space="preserve">", </v>
          </cell>
          <cell r="N223" t="str">
            <v xml:space="preserve">category: </v>
          </cell>
          <cell r="O223" t="str">
            <v>"</v>
          </cell>
          <cell r="P223" t="str">
            <v>PRECATECUMENADO</v>
          </cell>
          <cell r="Q223" t="str">
            <v>"</v>
          </cell>
          <cell r="R223" t="str">
            <v>, moments: [</v>
          </cell>
          <cell r="S223" t="str">
            <v>"</v>
          </cell>
          <cell r="T223" t="str">
            <v>Adviento</v>
          </cell>
          <cell r="U223" t="str">
            <v>", "</v>
          </cell>
          <cell r="V223" t="str">
            <v>Pentecostés</v>
          </cell>
          <cell r="W223" t="str">
            <v>", "</v>
          </cell>
          <cell r="X223" t="str">
            <v>Virgen</v>
          </cell>
          <cell r="Y223" t="str">
            <v>", "</v>
          </cell>
          <cell r="Z223" t="str">
            <v>Nuevo Testamento</v>
          </cell>
          <cell r="AE223" t="str">
            <v>"], url: "</v>
          </cell>
          <cell r="AF223" t="str">
            <v>/cantos/resucito/v/venespiritusanto.html</v>
          </cell>
          <cell r="AG223" t="str">
            <v>/cantos/resucito/v/venespiritusanto.html</v>
          </cell>
          <cell r="AH223" t="str">
            <v>"},</v>
          </cell>
          <cell r="AI223" t="str">
            <v>v</v>
          </cell>
          <cell r="AJ223" t="str">
            <v>p</v>
          </cell>
          <cell r="AK223" t="str">
            <v>{id:222,title: "venespiritusantoVen, Espíritu Santo", subtitle: "Secuencia de Pentecostés - Himno latin. «Veni, Sancte Spiritus»", category: "PRECATECUMENADO", moments: ["Adviento", "Pentecostés", "Virgen", "Nuevo Testamento"], url: "/cantos/resucito/v/venespiritusanto.html/cantos/resucito/v/venespiritusanto.html"},</v>
          </cell>
          <cell r="AL223" t="str">
            <v>VEN, ESPÍRITU SANTO</v>
          </cell>
          <cell r="AM223" t="str">
            <v>ven,espíritusanto</v>
          </cell>
          <cell r="AN223" t="str">
            <v>Secuencia de Pentecostés - Himno latin. «Veni, Sancte Spiritus»</v>
          </cell>
          <cell r="AP223" t="str">
            <v>CANTO</v>
          </cell>
          <cell r="AQ223" t="str">
            <v>VEN, ESPÍRITU SANTO</v>
          </cell>
        </row>
        <row r="224">
          <cell r="A224">
            <v>168</v>
          </cell>
          <cell r="B224" t="str">
            <v>{id:</v>
          </cell>
          <cell r="C224">
            <v>223</v>
          </cell>
          <cell r="D224" t="str">
            <v>,</v>
          </cell>
          <cell r="E224" t="str">
            <v xml:space="preserve">title: </v>
          </cell>
          <cell r="F224" t="str">
            <v>"</v>
          </cell>
          <cell r="G224" t="str">
            <v>venhijodelhombre</v>
          </cell>
          <cell r="H224" t="str">
            <v>Ven, Hijo del Hombre</v>
          </cell>
          <cell r="I224" t="str">
            <v>",</v>
          </cell>
          <cell r="J224" t="str">
            <v xml:space="preserve"> subtitle: </v>
          </cell>
          <cell r="K224" t="str">
            <v>"</v>
          </cell>
          <cell r="L224" t="str">
            <v>Apocalipsis 21,17ss</v>
          </cell>
          <cell r="M224" t="str">
            <v xml:space="preserve">", </v>
          </cell>
          <cell r="N224" t="str">
            <v xml:space="preserve">category: </v>
          </cell>
          <cell r="O224" t="str">
            <v>"</v>
          </cell>
          <cell r="P224" t="str">
            <v>PRECATECUMENADO</v>
          </cell>
          <cell r="Q224" t="str">
            <v>"</v>
          </cell>
          <cell r="R224" t="str">
            <v>, moments: [</v>
          </cell>
          <cell r="S224" t="str">
            <v>"</v>
          </cell>
          <cell r="T224" t="str">
            <v>Navidad</v>
          </cell>
          <cell r="U224" t="str">
            <v>", "</v>
          </cell>
          <cell r="V224" t="str">
            <v>Niños</v>
          </cell>
          <cell r="AE224" t="str">
            <v>"], url: "</v>
          </cell>
          <cell r="AF224" t="str">
            <v>/cantos/resucito/v/venhijodelhombre.html</v>
          </cell>
          <cell r="AG224" t="str">
            <v>/cantos/resucito/v/venhijodelhombre.html</v>
          </cell>
          <cell r="AH224" t="str">
            <v>"},</v>
          </cell>
          <cell r="AI224" t="str">
            <v>v</v>
          </cell>
          <cell r="AJ224" t="str">
            <v>p</v>
          </cell>
          <cell r="AK224" t="str">
            <v>{id:223,title: "venhijodelhombreVen, Hijo del Hombre", subtitle: "Apocalipsis 21,17ss", category: "PRECATECUMENADO", moments: ["Navidad", "Niños"], url: "/cantos/resucito/v/venhijodelhombre.html/cantos/resucito/v/venhijodelhombre.html"},</v>
          </cell>
          <cell r="AL224" t="str">
            <v>VEN, HIJO DEL HOMBRE</v>
          </cell>
          <cell r="AM224" t="str">
            <v>ven,hijodelhombre</v>
          </cell>
          <cell r="AN224" t="str">
            <v>Apocalipsis 21,17ss</v>
          </cell>
          <cell r="AP224" t="str">
            <v>CANTO</v>
          </cell>
          <cell r="AQ224" t="str">
            <v>VEN, HIJO DEL HOMBRE</v>
          </cell>
        </row>
        <row r="225">
          <cell r="A225">
            <v>169</v>
          </cell>
          <cell r="B225" t="str">
            <v>{id:</v>
          </cell>
          <cell r="C225">
            <v>224</v>
          </cell>
          <cell r="D225" t="str">
            <v>,</v>
          </cell>
          <cell r="E225" t="str">
            <v xml:space="preserve">title: </v>
          </cell>
          <cell r="F225" t="str">
            <v>"</v>
          </cell>
          <cell r="G225" t="str">
            <v>venicreator</v>
          </cell>
          <cell r="H225" t="str">
            <v>Veni Creator</v>
          </cell>
          <cell r="I225" t="str">
            <v>",</v>
          </cell>
          <cell r="J225" t="str">
            <v xml:space="preserve"> subtitle: </v>
          </cell>
          <cell r="K225" t="str">
            <v>"</v>
          </cell>
          <cell r="L225" t="str">
            <v>Himno latin</v>
          </cell>
          <cell r="M225" t="str">
            <v xml:space="preserve">", </v>
          </cell>
          <cell r="N225" t="str">
            <v xml:space="preserve">category: </v>
          </cell>
          <cell r="O225" t="str">
            <v>"</v>
          </cell>
          <cell r="P225" t="str">
            <v>PRECATECUMENADO</v>
          </cell>
          <cell r="Q225" t="str">
            <v>"</v>
          </cell>
          <cell r="R225" t="str">
            <v>, moments: [</v>
          </cell>
          <cell r="S225" t="str">
            <v>"</v>
          </cell>
          <cell r="T225" t="str">
            <v>Navidad</v>
          </cell>
          <cell r="U225" t="str">
            <v>", "</v>
          </cell>
          <cell r="V225" t="str">
            <v>Niños</v>
          </cell>
          <cell r="AE225" t="str">
            <v>"], url: "</v>
          </cell>
          <cell r="AF225" t="str">
            <v>/cantos/resucito/v/venicreator.html</v>
          </cell>
          <cell r="AG225" t="str">
            <v>/cantos/resucito/v/venicreator.html</v>
          </cell>
          <cell r="AH225" t="str">
            <v>"},</v>
          </cell>
          <cell r="AI225" t="str">
            <v>v</v>
          </cell>
          <cell r="AJ225" t="str">
            <v>p</v>
          </cell>
          <cell r="AK225" t="str">
            <v>{id:224,title: "venicreatorVeni Creator", subtitle: "Himno latin", category: "PRECATECUMENADO", moments: ["Navidad", "Niños"], url: "/cantos/resucito/v/venicreator.html/cantos/resucito/v/venicreator.html"},</v>
          </cell>
          <cell r="AL225" t="str">
            <v>VENI CREATOR</v>
          </cell>
          <cell r="AM225" t="str">
            <v>venicreator</v>
          </cell>
          <cell r="AN225" t="str">
            <v>Himno latin</v>
          </cell>
          <cell r="AP225" t="str">
            <v>CANTO</v>
          </cell>
          <cell r="AQ225" t="str">
            <v>VENI CREATOR</v>
          </cell>
        </row>
        <row r="226">
          <cell r="A226">
            <v>170</v>
          </cell>
          <cell r="B226" t="str">
            <v>{id:</v>
          </cell>
          <cell r="C226">
            <v>225</v>
          </cell>
          <cell r="D226" t="str">
            <v>,</v>
          </cell>
          <cell r="E226" t="str">
            <v xml:space="preserve">title: </v>
          </cell>
          <cell r="F226" t="str">
            <v>"</v>
          </cell>
          <cell r="G226" t="str">
            <v>vieneelsenor</v>
          </cell>
          <cell r="H226" t="str">
            <v>Viene el Señor</v>
          </cell>
          <cell r="I226" t="str">
            <v>",</v>
          </cell>
          <cell r="J226" t="str">
            <v xml:space="preserve"> subtitle: </v>
          </cell>
          <cell r="K226" t="str">
            <v>"</v>
          </cell>
          <cell r="L226" t="str">
            <v>Salmo 93 (92) - Apocalipsis 1,5-7</v>
          </cell>
          <cell r="M226" t="str">
            <v xml:space="preserve">", </v>
          </cell>
          <cell r="N226" t="str">
            <v xml:space="preserve">category: </v>
          </cell>
          <cell r="O226" t="str">
            <v>"</v>
          </cell>
          <cell r="P226" t="str">
            <v>PRECATECUMENADO</v>
          </cell>
          <cell r="Q226" t="str">
            <v>"</v>
          </cell>
          <cell r="R226" t="str">
            <v>, moments: [</v>
          </cell>
          <cell r="S226" t="str">
            <v>"</v>
          </cell>
          <cell r="T226" t="str">
            <v>Entrada</v>
          </cell>
          <cell r="U226" t="str">
            <v>", "</v>
          </cell>
          <cell r="V226" t="str">
            <v>Antiguo Testamento</v>
          </cell>
          <cell r="AE226" t="str">
            <v>"], url: "</v>
          </cell>
          <cell r="AF226" t="str">
            <v>/cantos/resucito/v/vieneelsenor.html</v>
          </cell>
          <cell r="AG226" t="str">
            <v>/cantos/resucito/v/vieneelsenor.html</v>
          </cell>
          <cell r="AH226" t="str">
            <v>"},</v>
          </cell>
          <cell r="AI226" t="str">
            <v>v</v>
          </cell>
          <cell r="AJ226" t="str">
            <v>p</v>
          </cell>
          <cell r="AK226" t="str">
            <v>{id:225,title: "vieneelsenorViene el Señor", subtitle: "Salmo 93 (92) - Apocalipsis 1,5-7", category: "PRECATECUMENADO", moments: ["Entrada", "Antiguo Testamento"], url: "/cantos/resucito/v/vieneelsenor.html/cantos/resucito/v/vieneelsenor.html"},</v>
          </cell>
          <cell r="AL226" t="str">
            <v>VIENE EL SEÑOR</v>
          </cell>
          <cell r="AM226" t="str">
            <v>vieneelseñor</v>
          </cell>
          <cell r="AN226" t="str">
            <v>Salmo 93 (92) - Apocalipsis 1,5-7</v>
          </cell>
          <cell r="AP226" t="str">
            <v>CANTO</v>
          </cell>
          <cell r="AQ226" t="str">
            <v>VIENE EL SEÑOR</v>
          </cell>
        </row>
        <row r="227">
          <cell r="A227">
            <v>171</v>
          </cell>
          <cell r="B227" t="str">
            <v>{id:</v>
          </cell>
          <cell r="C227">
            <v>226</v>
          </cell>
          <cell r="D227" t="str">
            <v>,</v>
          </cell>
          <cell r="E227" t="str">
            <v xml:space="preserve">title: </v>
          </cell>
          <cell r="F227" t="str">
            <v>"</v>
          </cell>
          <cell r="G227" t="str">
            <v>virgendelamaravilla</v>
          </cell>
          <cell r="H227" t="str">
            <v>Virgen de la maravilla</v>
          </cell>
          <cell r="I227" t="str">
            <v>",</v>
          </cell>
          <cell r="J227" t="str">
            <v xml:space="preserve"> subtitle: </v>
          </cell>
          <cell r="K227" t="str">
            <v>"</v>
          </cell>
          <cell r="L227" t="str">
            <v>(Dante Allghlerl)</v>
          </cell>
          <cell r="M227" t="str">
            <v xml:space="preserve">", </v>
          </cell>
          <cell r="N227" t="str">
            <v xml:space="preserve">category: </v>
          </cell>
          <cell r="O227" t="str">
            <v>"</v>
          </cell>
          <cell r="P227" t="str">
            <v>PRECATECUMENADO</v>
          </cell>
          <cell r="Q227" t="str">
            <v>"</v>
          </cell>
          <cell r="R227" t="str">
            <v>, moments: [</v>
          </cell>
          <cell r="S227" t="str">
            <v>"</v>
          </cell>
          <cell r="T227" t="str">
            <v>Pentecostés</v>
          </cell>
          <cell r="AE227" t="str">
            <v>"], url: "</v>
          </cell>
          <cell r="AF227" t="str">
            <v>/cantos/resucito/v/virgendelamaravilla.html</v>
          </cell>
          <cell r="AG227" t="str">
            <v>/cantos/resucito/v/virgendelamaravilla.html</v>
          </cell>
          <cell r="AH227" t="str">
            <v>"},</v>
          </cell>
          <cell r="AI227" t="str">
            <v>v</v>
          </cell>
          <cell r="AJ227" t="str">
            <v>p</v>
          </cell>
          <cell r="AK227" t="str">
            <v>{id:226,title: "virgendelamaravillaVirgen de la maravilla", subtitle: "(Dante Allghlerl)", category: "PRECATECUMENADO", moments: ["Pentecostés"], url: "/cantos/resucito/v/virgendelamaravilla.html/cantos/resucito/v/virgendelamaravilla.html"},</v>
          </cell>
          <cell r="AL227" t="str">
            <v>VIRGEN DE LA MARAVILLA</v>
          </cell>
          <cell r="AM227" t="str">
            <v>virgendelamaravilla</v>
          </cell>
          <cell r="AN227" t="str">
            <v>(Dante Allghlerl)</v>
          </cell>
          <cell r="AP227" t="str">
            <v>CANTO</v>
          </cell>
          <cell r="AQ227" t="str">
            <v>VIRGEN DE LA MARAVILLA</v>
          </cell>
        </row>
        <row r="228">
          <cell r="A228">
            <v>172</v>
          </cell>
          <cell r="B228" t="str">
            <v>{id:</v>
          </cell>
          <cell r="C228">
            <v>227</v>
          </cell>
          <cell r="D228" t="str">
            <v>,</v>
          </cell>
          <cell r="E228" t="str">
            <v xml:space="preserve">title: </v>
          </cell>
          <cell r="F228" t="str">
            <v>"</v>
          </cell>
          <cell r="G228" t="str">
            <v>vividalegres</v>
          </cell>
          <cell r="H228" t="str">
            <v>Vivid alegres</v>
          </cell>
          <cell r="I228" t="str">
            <v>",</v>
          </cell>
          <cell r="J228" t="str">
            <v xml:space="preserve"> subtitle: </v>
          </cell>
          <cell r="K228" t="str">
            <v>"</v>
          </cell>
          <cell r="L228" t="str">
            <v>Filipenses 4,4ss</v>
          </cell>
          <cell r="M228" t="str">
            <v xml:space="preserve">", </v>
          </cell>
          <cell r="N228" t="str">
            <v xml:space="preserve">category: </v>
          </cell>
          <cell r="O228" t="str">
            <v>"</v>
          </cell>
          <cell r="P228" t="str">
            <v>PRECATECUMENADO</v>
          </cell>
          <cell r="Q228" t="str">
            <v>"</v>
          </cell>
          <cell r="R228" t="str">
            <v>, moments: [</v>
          </cell>
          <cell r="S228" t="str">
            <v>"</v>
          </cell>
          <cell r="T228" t="str">
            <v>Adviento</v>
          </cell>
          <cell r="U228" t="str">
            <v>", "</v>
          </cell>
          <cell r="V228" t="str">
            <v>Final</v>
          </cell>
          <cell r="W228" t="str">
            <v>", "</v>
          </cell>
          <cell r="X228" t="str">
            <v>Nuevo Testamento</v>
          </cell>
          <cell r="AE228" t="str">
            <v>"], url: "</v>
          </cell>
          <cell r="AF228" t="str">
            <v>/cantos/resucito/v/vividalegres.html</v>
          </cell>
          <cell r="AG228" t="str">
            <v>/cantos/resucito/v/vividalegres.html</v>
          </cell>
          <cell r="AH228" t="str">
            <v>"},</v>
          </cell>
          <cell r="AI228" t="str">
            <v>v</v>
          </cell>
          <cell r="AJ228" t="str">
            <v>p</v>
          </cell>
          <cell r="AK228" t="str">
            <v>{id:227,title: "vividalegresVivid alegres", subtitle: "Filipenses 4,4ss", category: "PRECATECUMENADO", moments: ["Adviento", "Final", "Nuevo Testamento"], url: "/cantos/resucito/v/vividalegres.html/cantos/resucito/v/vividalegres.html"},</v>
          </cell>
          <cell r="AL228" t="str">
            <v>VIVID ALEGRES</v>
          </cell>
          <cell r="AM228" t="str">
            <v>vividalegres</v>
          </cell>
          <cell r="AN228" t="str">
            <v>Filipenses 4,4ss</v>
          </cell>
          <cell r="AP228" t="str">
            <v>CANTO</v>
          </cell>
          <cell r="AQ228" t="str">
            <v>VIVID ALEGRES</v>
          </cell>
        </row>
        <row r="229">
          <cell r="A229">
            <v>173</v>
          </cell>
          <cell r="B229" t="str">
            <v>{id:</v>
          </cell>
          <cell r="C229">
            <v>228</v>
          </cell>
          <cell r="D229" t="str">
            <v>,</v>
          </cell>
          <cell r="E229" t="str">
            <v xml:space="preserve">title: </v>
          </cell>
          <cell r="F229" t="str">
            <v>"</v>
          </cell>
          <cell r="G229" t="str">
            <v>vosotrossoislaluzdelmundo</v>
          </cell>
          <cell r="H229" t="str">
            <v>Vosotros sois la luz del mundo</v>
          </cell>
          <cell r="I229" t="str">
            <v>",</v>
          </cell>
          <cell r="J229" t="str">
            <v xml:space="preserve"> subtitle: </v>
          </cell>
          <cell r="K229" t="str">
            <v>"</v>
          </cell>
          <cell r="L229" t="str">
            <v xml:space="preserve">Mateo 5,14ss </v>
          </cell>
          <cell r="M229" t="str">
            <v xml:space="preserve">", </v>
          </cell>
          <cell r="N229" t="str">
            <v xml:space="preserve">category: </v>
          </cell>
          <cell r="O229" t="str">
            <v>"</v>
          </cell>
          <cell r="P229" t="str">
            <v>PRECATECUMENADO</v>
          </cell>
          <cell r="Q229" t="str">
            <v>"</v>
          </cell>
          <cell r="R229" t="str">
            <v>, moments: [</v>
          </cell>
          <cell r="S229" t="str">
            <v>"</v>
          </cell>
          <cell r="T229" t="str">
            <v>Pentecostés</v>
          </cell>
          <cell r="AE229" t="str">
            <v>"], url: "</v>
          </cell>
          <cell r="AF229" t="str">
            <v>/cantos/resucito/v/vosotrossoislaluzdelmundo.html</v>
          </cell>
          <cell r="AG229" t="str">
            <v>/cantos/resucito/v/vosotrossoislaluzdelmundo.html</v>
          </cell>
          <cell r="AH229" t="str">
            <v>"},</v>
          </cell>
          <cell r="AI229" t="str">
            <v>v</v>
          </cell>
          <cell r="AJ229" t="str">
            <v>p</v>
          </cell>
          <cell r="AK229" t="str">
            <v>{id:228,title: "vosotrossoislaluzdelmundoVosotros sois la luz del mundo", subtitle: "Mateo 5,14ss ", category: "PRECATECUMENADO", moments: ["Pentecostés"], url: "/cantos/resucito/v/vosotrossoislaluzdelmundo.html/cantos/resucito/v/vosotrossoislaluzdelmundo.html"},</v>
          </cell>
          <cell r="AL229" t="str">
            <v>VOSOTROS SOIS LA LUZ DEL MUNDO</v>
          </cell>
          <cell r="AM229" t="str">
            <v>vosotrossoislaluzdelmundo</v>
          </cell>
          <cell r="AN229" t="str">
            <v xml:space="preserve">Mateo 5,14ss </v>
          </cell>
          <cell r="AP229" t="str">
            <v>CANTO</v>
          </cell>
          <cell r="AQ229" t="str">
            <v>VOSOTROS SOIS LA LUZ DEL MUNDO</v>
          </cell>
        </row>
        <row r="230">
          <cell r="A230">
            <v>174</v>
          </cell>
          <cell r="B230" t="str">
            <v>{id:</v>
          </cell>
          <cell r="C230">
            <v>229</v>
          </cell>
          <cell r="D230" t="str">
            <v>,</v>
          </cell>
          <cell r="E230" t="str">
            <v xml:space="preserve">title: </v>
          </cell>
          <cell r="F230" t="str">
            <v>"</v>
          </cell>
          <cell r="G230" t="str">
            <v>yavienemidios</v>
          </cell>
          <cell r="H230" t="str">
            <v>Ya viene mi Dios</v>
          </cell>
          <cell r="I230" t="str">
            <v>",</v>
          </cell>
          <cell r="J230" t="str">
            <v xml:space="preserve"> subtitle: </v>
          </cell>
          <cell r="K230" t="str">
            <v>"</v>
          </cell>
          <cell r="L230" t="str">
            <v>Villancico (Kiko Argüello)</v>
          </cell>
          <cell r="M230" t="str">
            <v xml:space="preserve">", </v>
          </cell>
          <cell r="N230" t="str">
            <v xml:space="preserve">category: </v>
          </cell>
          <cell r="O230" t="str">
            <v>"</v>
          </cell>
          <cell r="P230" t="str">
            <v>PRECATECUMENADO</v>
          </cell>
          <cell r="Q230" t="str">
            <v>"</v>
          </cell>
          <cell r="R230" t="str">
            <v>, moments: [</v>
          </cell>
          <cell r="S230" t="str">
            <v>"</v>
          </cell>
          <cell r="T230" t="str">
            <v>Adviento</v>
          </cell>
          <cell r="U230" t="str">
            <v>", "</v>
          </cell>
          <cell r="V230" t="str">
            <v>Pentecostés</v>
          </cell>
          <cell r="W230" t="str">
            <v>", "</v>
          </cell>
          <cell r="X230" t="str">
            <v>Antiguo Testamento</v>
          </cell>
          <cell r="Y230" t="str">
            <v>", "</v>
          </cell>
          <cell r="Z230" t="str">
            <v>Nuevo Testamento</v>
          </cell>
          <cell r="AE230" t="str">
            <v>"], url: "</v>
          </cell>
          <cell r="AF230" t="str">
            <v>/cantos/resucito/y/yavienemidios.html</v>
          </cell>
          <cell r="AG230" t="str">
            <v>/cantos/resucito/y/yavienemidios.html</v>
          </cell>
          <cell r="AH230" t="str">
            <v>"},</v>
          </cell>
          <cell r="AI230" t="str">
            <v>y</v>
          </cell>
          <cell r="AJ230" t="str">
            <v>p</v>
          </cell>
          <cell r="AK230" t="str">
            <v>{id:229,title: "yavienemidiosYa viene mi Dios", subtitle: "Villancico (Kiko Argüello)", category: "PRECATECUMENADO", moments: ["Adviento", "Pentecostés", "Antiguo Testamento", "Nuevo Testamento"], url: "/cantos/resucito/y/yavienemidios.html/cantos/resucito/y/yavienemidios.html"},</v>
          </cell>
          <cell r="AL230" t="str">
            <v>YA VIENE MI DIOS</v>
          </cell>
          <cell r="AM230" t="str">
            <v>yavienemidios</v>
          </cell>
          <cell r="AN230" t="str">
            <v>Villancico (Kiko Argüello)</v>
          </cell>
          <cell r="AP230" t="str">
            <v>CANTO</v>
          </cell>
          <cell r="AQ230" t="str">
            <v>YA VIENE MI DIOS</v>
          </cell>
        </row>
        <row r="231">
          <cell r="A231">
            <v>175</v>
          </cell>
          <cell r="B231" t="str">
            <v>{id:</v>
          </cell>
          <cell r="C231">
            <v>230</v>
          </cell>
          <cell r="D231" t="str">
            <v>,</v>
          </cell>
          <cell r="E231" t="str">
            <v xml:space="preserve">title: </v>
          </cell>
          <cell r="F231" t="str">
            <v>"</v>
          </cell>
          <cell r="G231" t="str">
            <v>yahvehtueresmidios</v>
          </cell>
          <cell r="H231" t="str">
            <v>Yahveh, tú eres mi Dios</v>
          </cell>
          <cell r="I231" t="str">
            <v>",</v>
          </cell>
          <cell r="J231" t="str">
            <v xml:space="preserve"> subtitle: </v>
          </cell>
          <cell r="K231" t="str">
            <v>"</v>
          </cell>
          <cell r="L231" t="str">
            <v>Isaías 25,1-8</v>
          </cell>
          <cell r="M231" t="str">
            <v xml:space="preserve">", </v>
          </cell>
          <cell r="N231" t="str">
            <v xml:space="preserve">category: </v>
          </cell>
          <cell r="O231" t="str">
            <v>"</v>
          </cell>
          <cell r="P231" t="str">
            <v>PRECATECUMENADO</v>
          </cell>
          <cell r="Q231" t="str">
            <v>"</v>
          </cell>
          <cell r="R231" t="str">
            <v>, moments: [</v>
          </cell>
          <cell r="S231" t="str">
            <v>"</v>
          </cell>
          <cell r="T231" t="str">
            <v>Virgen</v>
          </cell>
          <cell r="AE231" t="str">
            <v>"], url: "</v>
          </cell>
          <cell r="AF231" t="str">
            <v>/cantos/resucito/y/yahvehtueresmidios.html</v>
          </cell>
          <cell r="AG231" t="str">
            <v>/cantos/resucito/y/yahvehtueresmidios.html</v>
          </cell>
          <cell r="AH231" t="str">
            <v>"},</v>
          </cell>
          <cell r="AI231" t="str">
            <v>y</v>
          </cell>
          <cell r="AJ231" t="str">
            <v>p</v>
          </cell>
          <cell r="AK231" t="str">
            <v>{id:230,title: "yahvehtueresmidiosYahveh, tú eres mi Dios", subtitle: "Isaías 25,1-8", category: "PRECATECUMENADO", moments: ["Virgen"], url: "/cantos/resucito/y/yahvehtueresmidios.html/cantos/resucito/y/yahvehtueresmidios.html"},</v>
          </cell>
          <cell r="AL231" t="str">
            <v>YAHVEH, TÚ ERES MI DIOS</v>
          </cell>
          <cell r="AM231" t="str">
            <v>yahveh,túeresmidios</v>
          </cell>
          <cell r="AN231" t="str">
            <v>Isaías 25,1-8</v>
          </cell>
          <cell r="AP231" t="str">
            <v>CANTO</v>
          </cell>
          <cell r="AQ231" t="str">
            <v>YAHVEH, TÚ ERES MI DIOS</v>
          </cell>
        </row>
        <row r="232">
          <cell r="A232">
            <v>176</v>
          </cell>
          <cell r="B232" t="str">
            <v>{id:</v>
          </cell>
          <cell r="C232">
            <v>231</v>
          </cell>
          <cell r="D232" t="str">
            <v>,</v>
          </cell>
          <cell r="E232" t="str">
            <v xml:space="preserve">title: </v>
          </cell>
          <cell r="F232" t="str">
            <v>"</v>
          </cell>
          <cell r="G232" t="str">
            <v>yoteamosenor</v>
          </cell>
          <cell r="H232" t="str">
            <v>Yo te amo, Señor</v>
          </cell>
          <cell r="I232" t="str">
            <v>",</v>
          </cell>
          <cell r="J232" t="str">
            <v xml:space="preserve"> subtitle: </v>
          </cell>
          <cell r="K232" t="str">
            <v>"</v>
          </cell>
          <cell r="L232" t="str">
            <v>Sal 18 (17)</v>
          </cell>
          <cell r="M232" t="str">
            <v xml:space="preserve">", </v>
          </cell>
          <cell r="N232" t="str">
            <v xml:space="preserve">category: </v>
          </cell>
          <cell r="O232" t="str">
            <v>"</v>
          </cell>
          <cell r="P232" t="str">
            <v>PRECATECUMENADO</v>
          </cell>
          <cell r="Q232" t="str">
            <v>"</v>
          </cell>
          <cell r="R232" t="str">
            <v>, moments: [</v>
          </cell>
          <cell r="S232" t="str">
            <v>"</v>
          </cell>
          <cell r="T232" t="str">
            <v>Adviento</v>
          </cell>
          <cell r="U232" t="str">
            <v>", "</v>
          </cell>
          <cell r="V232" t="str">
            <v>Niños</v>
          </cell>
          <cell r="W232" t="str">
            <v>", "</v>
          </cell>
          <cell r="X232" t="str">
            <v>Nuevo Testamento</v>
          </cell>
          <cell r="AE232" t="str">
            <v>"], url: "</v>
          </cell>
          <cell r="AF232" t="str">
            <v>/cantos/resucito/y/yoteamosenor.html</v>
          </cell>
          <cell r="AG232" t="str">
            <v>/cantos/resucito/y/yoteamosenor.html</v>
          </cell>
          <cell r="AH232" t="str">
            <v>"},</v>
          </cell>
          <cell r="AI232" t="str">
            <v>y</v>
          </cell>
          <cell r="AJ232" t="str">
            <v>p</v>
          </cell>
          <cell r="AK232" t="str">
            <v>{id:231,title: "yoteamosenorYo te amo, Señor", subtitle: "Sal 18 (17)", category: "PRECATECUMENADO", moments: ["Adviento", "Niños", "Nuevo Testamento"], url: "/cantos/resucito/y/yoteamosenor.html/cantos/resucito/y/yoteamosenor.html"},</v>
          </cell>
          <cell r="AL232" t="str">
            <v>YO TE AMO, SEÑOR</v>
          </cell>
          <cell r="AM232" t="str">
            <v>yoteamo,señor</v>
          </cell>
          <cell r="AN232" t="str">
            <v>Sal 18 (17)</v>
          </cell>
          <cell r="AP232" t="str">
            <v>CANTO</v>
          </cell>
          <cell r="AQ232" t="str">
            <v>YO TE AMO, SEÑOR</v>
          </cell>
        </row>
        <row r="233">
          <cell r="A233">
            <v>177</v>
          </cell>
          <cell r="B233" t="str">
            <v>{id:</v>
          </cell>
          <cell r="C233">
            <v>232</v>
          </cell>
          <cell r="D233" t="str">
            <v>,</v>
          </cell>
          <cell r="E233" t="str">
            <v xml:space="preserve">title: </v>
          </cell>
          <cell r="F233" t="str">
            <v>"</v>
          </cell>
          <cell r="G233" t="str">
            <v>yovengoareunir</v>
          </cell>
          <cell r="H233" t="str">
            <v>Yo vengo a reunir</v>
          </cell>
          <cell r="I233" t="str">
            <v>",</v>
          </cell>
          <cell r="J233" t="str">
            <v xml:space="preserve"> subtitle: </v>
          </cell>
          <cell r="K233" t="str">
            <v>"</v>
          </cell>
          <cell r="L233" t="str">
            <v>Isaías 66,18-21</v>
          </cell>
          <cell r="M233" t="str">
            <v xml:space="preserve">", </v>
          </cell>
          <cell r="N233" t="str">
            <v xml:space="preserve">category: </v>
          </cell>
          <cell r="O233" t="str">
            <v>"</v>
          </cell>
          <cell r="P233" t="str">
            <v>PRECATECUMENADO</v>
          </cell>
          <cell r="Q233" t="str">
            <v>"</v>
          </cell>
          <cell r="R233" t="str">
            <v>, moments: [</v>
          </cell>
          <cell r="S233" t="str">
            <v>"</v>
          </cell>
          <cell r="T233" t="str">
            <v>Nuevo Testamento</v>
          </cell>
          <cell r="AE233" t="str">
            <v>"], url: "</v>
          </cell>
          <cell r="AF233" t="str">
            <v>/cantos/resucito/y/yovengoareunir.html</v>
          </cell>
          <cell r="AG233" t="str">
            <v>/cantos/resucito/y/yovengoareunir.html</v>
          </cell>
          <cell r="AH233" t="str">
            <v>"},</v>
          </cell>
          <cell r="AI233" t="str">
            <v>y</v>
          </cell>
          <cell r="AJ233" t="str">
            <v>p</v>
          </cell>
          <cell r="AK233" t="str">
            <v>{id:232,title: "yovengoareunirYo vengo a reunir", subtitle: "Isaías 66,18-21", category: "PRECATECUMENADO", moments: ["Nuevo Testamento"], url: "/cantos/resucito/y/yovengoareunir.html/cantos/resucito/y/yovengoareunir.html"},</v>
          </cell>
          <cell r="AL233" t="str">
            <v>YO VENGO A REUNIR</v>
          </cell>
          <cell r="AM233" t="str">
            <v>yovengoareunir</v>
          </cell>
          <cell r="AN233" t="str">
            <v>Isaías 66,18-21</v>
          </cell>
          <cell r="AP233" t="str">
            <v>CANTO</v>
          </cell>
          <cell r="AQ233" t="str">
            <v>YO VENGO A REUNIR</v>
          </cell>
        </row>
        <row r="234">
          <cell r="A234">
            <v>178</v>
          </cell>
          <cell r="B234" t="str">
            <v>{id:</v>
          </cell>
          <cell r="C234">
            <v>233</v>
          </cell>
          <cell r="D234" t="str">
            <v>,</v>
          </cell>
          <cell r="E234" t="str">
            <v xml:space="preserve">title: </v>
          </cell>
          <cell r="F234" t="str">
            <v>"</v>
          </cell>
          <cell r="G234" t="str">
            <v>zaqueo</v>
          </cell>
          <cell r="H234" t="str">
            <v>Zaqueo</v>
          </cell>
          <cell r="I234" t="str">
            <v>",</v>
          </cell>
          <cell r="J234" t="str">
            <v xml:space="preserve"> subtitle: </v>
          </cell>
          <cell r="K234" t="str">
            <v>"</v>
          </cell>
          <cell r="L234" t="str">
            <v>Lucas 19,1-10</v>
          </cell>
          <cell r="M234" t="str">
            <v xml:space="preserve">", </v>
          </cell>
          <cell r="N234" t="str">
            <v xml:space="preserve">category: </v>
          </cell>
          <cell r="O234" t="str">
            <v>"</v>
          </cell>
          <cell r="P234" t="str">
            <v>PRECATECUMENADO</v>
          </cell>
          <cell r="Q234" t="str">
            <v>"</v>
          </cell>
          <cell r="R234" t="str">
            <v>, moments: [</v>
          </cell>
          <cell r="S234" t="str">
            <v>"</v>
          </cell>
          <cell r="T234" t="str">
            <v>Navidad</v>
          </cell>
          <cell r="U234" t="str">
            <v>", "</v>
          </cell>
          <cell r="V234" t="str">
            <v>Niños</v>
          </cell>
          <cell r="AE234" t="str">
            <v>"], url: "</v>
          </cell>
          <cell r="AF234" t="str">
            <v>/cantos/resucito/z/zaqueo.html</v>
          </cell>
          <cell r="AG234" t="str">
            <v>/cantos/resucito/z/zaqueo.html</v>
          </cell>
          <cell r="AH234" t="str">
            <v>"},</v>
          </cell>
          <cell r="AI234" t="str">
            <v>z</v>
          </cell>
          <cell r="AJ234" t="str">
            <v>p</v>
          </cell>
          <cell r="AK234" t="str">
            <v>{id:233,title: "zaqueoZaqueo", subtitle: "Lucas 19,1-10", category: "PRECATECUMENADO", moments: ["Navidad", "Niños"], url: "/cantos/resucito/z/zaqueo.html/cantos/resucito/z/zaqueo.html"},</v>
          </cell>
          <cell r="AL234" t="str">
            <v>ZAQUEO</v>
          </cell>
          <cell r="AM234" t="str">
            <v>zaqueo</v>
          </cell>
          <cell r="AN234" t="str">
            <v>Lucas 19,1-10</v>
          </cell>
          <cell r="AP234" t="str">
            <v>CANTO</v>
          </cell>
          <cell r="AQ234" t="str">
            <v>ZAQUEO</v>
          </cell>
        </row>
        <row r="235">
          <cell r="A235">
            <v>245</v>
          </cell>
          <cell r="B235" t="str">
            <v>{id:</v>
          </cell>
          <cell r="C235">
            <v>234</v>
          </cell>
          <cell r="D235" t="str">
            <v>,</v>
          </cell>
          <cell r="E235" t="str">
            <v xml:space="preserve">title: </v>
          </cell>
          <cell r="F235" t="str">
            <v>"</v>
          </cell>
          <cell r="G235" t="str">
            <v>prountuariodeacordes</v>
          </cell>
          <cell r="H235" t="str">
            <v>Prountuario de Acordes</v>
          </cell>
          <cell r="I235" t="str">
            <v>",</v>
          </cell>
          <cell r="J235" t="str">
            <v xml:space="preserve"> subtitle: </v>
          </cell>
          <cell r="K235" t="str">
            <v>"</v>
          </cell>
          <cell r="L235" t="str">
            <v>Notas</v>
          </cell>
          <cell r="M235" t="str">
            <v xml:space="preserve">", </v>
          </cell>
          <cell r="N235" t="str">
            <v xml:space="preserve">category: </v>
          </cell>
          <cell r="O235" t="str">
            <v>"</v>
          </cell>
          <cell r="P235" t="str">
            <v>PRECATECUMENADO</v>
          </cell>
          <cell r="Q235" t="str">
            <v>"</v>
          </cell>
          <cell r="R235" t="str">
            <v>, moments: [</v>
          </cell>
          <cell r="S235" t="str">
            <v>"</v>
          </cell>
          <cell r="T235" t="str">
            <v>Cuaresma</v>
          </cell>
          <cell r="U235" t="str">
            <v>", "</v>
          </cell>
          <cell r="V235" t="str">
            <v>Laudes/Visperas</v>
          </cell>
          <cell r="W235" t="str">
            <v>", "</v>
          </cell>
          <cell r="X235" t="str">
            <v>Antiguo Testamento</v>
          </cell>
          <cell r="AE235" t="str">
            <v>"], url: "</v>
          </cell>
          <cell r="AF235" t="str">
            <v>/cantos/resucito/p/prountuariodeacordes.html</v>
          </cell>
          <cell r="AG235" t="str">
            <v>/cantos/resucito/p/prountuariodeacordes.html</v>
          </cell>
          <cell r="AH235" t="str">
            <v>"},</v>
          </cell>
          <cell r="AI235" t="str">
            <v>p</v>
          </cell>
          <cell r="AJ235" t="str">
            <v>p</v>
          </cell>
          <cell r="AK235" t="str">
            <v>{id:234,title: "prountuariodeacordesPrountuario de Acordes", subtitle: "Notas", category: "PRECATECUMENADO", moments: ["Cuaresma", "Laudes/Visperas", "Antiguo Testamento"], url: "/cantos/resucito/p/prountuariodeacordes.html/cantos/resucito/p/prountuariodeacordes.html"},</v>
          </cell>
          <cell r="AL235" t="str">
            <v>PROUNTUARIO DE ACORDES</v>
          </cell>
          <cell r="AM235" t="str">
            <v>prountuariodeacordes</v>
          </cell>
          <cell r="AN235" t="str">
            <v>Notas</v>
          </cell>
          <cell r="AP235" t="str">
            <v>CANTO</v>
          </cell>
          <cell r="AQ235" t="str">
            <v>PROUNTUARIO DE ACORDES</v>
          </cell>
        </row>
        <row r="236">
          <cell r="A236">
            <v>246</v>
          </cell>
          <cell r="B236" t="str">
            <v>{id:</v>
          </cell>
          <cell r="C236">
            <v>235</v>
          </cell>
          <cell r="D236" t="str">
            <v>,</v>
          </cell>
          <cell r="E236" t="str">
            <v xml:space="preserve">title: </v>
          </cell>
          <cell r="F236" t="str">
            <v>"</v>
          </cell>
          <cell r="G236" t="str">
            <v>librodecantoenpdf</v>
          </cell>
          <cell r="H236" t="str">
            <v>Libro de Canto en PDF</v>
          </cell>
          <cell r="I236" t="str">
            <v>",</v>
          </cell>
          <cell r="J236" t="str">
            <v xml:space="preserve"> subtitle: </v>
          </cell>
          <cell r="K236" t="str">
            <v>"</v>
          </cell>
          <cell r="L236" t="str">
            <v xml:space="preserve">Cantos del Camino Neo Catecumenal </v>
          </cell>
          <cell r="M236" t="str">
            <v xml:space="preserve">", </v>
          </cell>
          <cell r="N236" t="str">
            <v xml:space="preserve">category: </v>
          </cell>
          <cell r="O236" t="str">
            <v>"</v>
          </cell>
          <cell r="P236" t="str">
            <v>CATECUMENADO</v>
          </cell>
          <cell r="Q236" t="str">
            <v>"</v>
          </cell>
          <cell r="R236" t="str">
            <v>, moments: [</v>
          </cell>
          <cell r="S236" t="str">
            <v>"</v>
          </cell>
          <cell r="T236" t="str">
            <v>Antiguo Testamento</v>
          </cell>
          <cell r="AE236" t="str">
            <v>"], url: "</v>
          </cell>
          <cell r="AF236" t="str">
            <v>/cantos/resucito/l/librodecantoenpdf.html</v>
          </cell>
          <cell r="AG236" t="str">
            <v>/cantos/resucito/l/librodecantoenpdf.html</v>
          </cell>
          <cell r="AH236" t="str">
            <v>"},</v>
          </cell>
          <cell r="AI236" t="str">
            <v>l</v>
          </cell>
          <cell r="AJ236" t="str">
            <v>c</v>
          </cell>
          <cell r="AK236" t="str">
            <v>{id:235,title: "librodecantoenpdfLibro de Canto en PDF", subtitle: "Cantos del Camino Neo Catecumenal ", category: "CATECUMENADO", moments: ["Antiguo Testamento"], url: "/cantos/resucito/l/librodecantoenpdf.html/cantos/resucito/l/librodecantoenpdf.html"},</v>
          </cell>
          <cell r="AL236" t="str">
            <v>LIBRO DE CANTO EN PDF</v>
          </cell>
          <cell r="AM236" t="str">
            <v>librodecantoenpdf</v>
          </cell>
          <cell r="AN236" t="str">
            <v xml:space="preserve">Cantos del Camino Neo Catecumenal </v>
          </cell>
          <cell r="AP236" t="str">
            <v>CANTO</v>
          </cell>
          <cell r="AQ236" t="str">
            <v>LIBRO DE CANTO EN PDF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1AE22B-8B10-4830-AF86-300335DFD92D}" name="Table121589" displayName="Table121589" ref="B2:K103" totalsRowShown="0" headerRowDxfId="23" dataDxfId="22">
  <autoFilter ref="B2:K103" xr:uid="{AA9297F1-B7F9-45B8-90A3-D93D6B7ACB7E}"/>
  <tableColumns count="10">
    <tableColumn id="1" xr3:uid="{DB379CB6-CF24-4527-8E59-02C21A69643D}" name="#" dataDxfId="21">
      <calculatedColumnFormula>+B2+1</calculatedColumnFormula>
    </tableColumn>
    <tableColumn id="2" xr3:uid="{54DB09C5-029D-4446-A408-D37ABF3F0C59}" name="CANTOR" dataDxfId="20"/>
    <tableColumn id="3" xr3:uid="{0B574C63-58DC-497F-A797-46901B3ECFFC}" name="Acorde" dataDxfId="19"/>
    <tableColumn id="4" xr3:uid="{3ED84A6C-A9BC-4F3E-98F4-C95B1F874F8C}" name="Estado" dataDxfId="18"/>
    <tableColumn id="5" xr3:uid="{56A198DD-2DA2-44A6-B95C-417FEF7DCF1E}" name="Acorde2" dataDxfId="17"/>
    <tableColumn id="6" xr3:uid="{2CC1CB21-F86C-42A2-93A8-FDBB167FA198}" name="Estado3" dataDxfId="16"/>
    <tableColumn id="7" xr3:uid="{4E76987B-8336-4EEA-AD2C-5E6F4592D49E}" name="Acorde4" dataDxfId="15"/>
    <tableColumn id="8" xr3:uid="{03EB0965-2693-491C-AC9F-9AF7E41856B0}" name="Estado5" dataDxfId="14"/>
    <tableColumn id="9" xr3:uid="{A2DBD006-9CFC-4861-A5EB-23BADD609AC6}" name="Acorde6" dataDxfId="13"/>
    <tableColumn id="10" xr3:uid="{52ABF803-C66A-4247-8D9E-A1E7963E46C4}" name="Estado7" dataDxfId="1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D0D637-4352-4241-BA16-E1B577E87627}" name="Table12141690" displayName="Table12141690" ref="M2:V103" totalsRowShown="0" headerRowDxfId="11" dataDxfId="10">
  <autoFilter ref="M2:V103" xr:uid="{239EF559-C834-4AE6-AFB4-BCCA89CDB411}"/>
  <tableColumns count="10">
    <tableColumn id="1" xr3:uid="{2023FDD3-E5AC-43DE-93CB-1757719670F4}" name="#" dataDxfId="9">
      <calculatedColumnFormula>+M2+1</calculatedColumnFormula>
    </tableColumn>
    <tableColumn id="2" xr3:uid="{1D708E8F-0713-4B07-8E5F-F6E0FE591D61}" name="ASAMBLEA" dataDxfId="8"/>
    <tableColumn id="3" xr3:uid="{B20FC70E-174C-4A0B-9C9C-C9351C768523}" name="Acorde" dataDxfId="7"/>
    <tableColumn id="4" xr3:uid="{80142830-E039-419D-A07D-34714E271E11}" name="Estado" dataDxfId="6"/>
    <tableColumn id="5" xr3:uid="{158BE552-A444-49E6-B59A-488FCA4B4429}" name="Acorde2" dataDxfId="5"/>
    <tableColumn id="6" xr3:uid="{8D1E086C-4CAF-449C-BFE0-AD52FFF48FFD}" name="Estado3" dataDxfId="4"/>
    <tableColumn id="7" xr3:uid="{28A0EAD0-F743-40BC-83F0-D0F0860B4E48}" name="Acorde4" dataDxfId="3"/>
    <tableColumn id="8" xr3:uid="{E3DD3150-6282-4C44-989A-8840886C74AB}" name="Estado5" dataDxfId="2"/>
    <tableColumn id="9" xr3:uid="{1B78376E-372C-493C-8220-FFFB580417AB}" name="Acorde6" dataDxfId="1"/>
    <tableColumn id="10" xr3:uid="{445395A8-B55F-4B93-A4D1-932370465BAF}" name="Estado7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7A9A-3644-4565-A776-F7CF8E6CD865}">
  <sheetPr codeName="Sheet90">
    <tabColor rgb="FF00B0F0"/>
  </sheetPr>
  <dimension ref="A1:AG616"/>
  <sheetViews>
    <sheetView tabSelected="1" zoomScale="85" zoomScaleNormal="85" workbookViewId="0">
      <pane ySplit="2" topLeftCell="A137" activePane="bottomLeft" state="frozen"/>
      <selection activeCell="B1" sqref="B1"/>
      <selection pane="bottomLeft" activeCell="C143" sqref="C143"/>
    </sheetView>
  </sheetViews>
  <sheetFormatPr defaultRowHeight="24" outlineLevelRow="1" x14ac:dyDescent="0.4"/>
  <cols>
    <col min="1" max="1" width="36.7109375" bestFit="1" customWidth="1"/>
    <col min="2" max="2" width="7.5703125" style="9" bestFit="1" customWidth="1"/>
    <col min="3" max="3" width="130" style="39" customWidth="1"/>
    <col min="4" max="4" width="42.7109375" style="9" bestFit="1" customWidth="1"/>
    <col min="5" max="5" width="26.85546875" bestFit="1" customWidth="1"/>
    <col min="6" max="6" width="13.42578125" style="5" bestFit="1" customWidth="1"/>
    <col min="7" max="7" width="13.28515625" style="5" bestFit="1" customWidth="1"/>
    <col min="8" max="8" width="11.85546875" style="5" bestFit="1" customWidth="1"/>
    <col min="9" max="9" width="11.7109375" style="5" bestFit="1" customWidth="1"/>
    <col min="10" max="10" width="12.85546875" style="8" bestFit="1" customWidth="1"/>
    <col min="11" max="11" width="12.7109375" style="5" bestFit="1" customWidth="1"/>
    <col min="12" max="12" width="12.85546875" style="5" bestFit="1" customWidth="1"/>
    <col min="13" max="13" width="12.7109375" bestFit="1" customWidth="1"/>
    <col min="14" max="14" width="42" style="6" customWidth="1"/>
    <col min="15" max="15" width="12.7109375" style="5" bestFit="1" customWidth="1"/>
    <col min="16" max="16" width="10.42578125" style="7" customWidth="1"/>
    <col min="17" max="17" width="6.5703125" style="8" bestFit="1" customWidth="1"/>
    <col min="18" max="18" width="29.140625" style="6" bestFit="1" customWidth="1"/>
    <col min="19" max="19" width="11.85546875" bestFit="1" customWidth="1"/>
    <col min="20" max="20" width="11.7109375" bestFit="1" customWidth="1"/>
    <col min="21" max="21" width="12.85546875" bestFit="1" customWidth="1"/>
    <col min="22" max="22" width="12.7109375" bestFit="1" customWidth="1"/>
    <col min="23" max="23" width="12.85546875" bestFit="1" customWidth="1"/>
    <col min="24" max="24" width="12.7109375" bestFit="1" customWidth="1"/>
    <col min="25" max="25" width="12.85546875" style="5" bestFit="1" customWidth="1"/>
    <col min="26" max="26" width="12.7109375" bestFit="1" customWidth="1"/>
    <col min="32" max="32" width="12.5703125" style="5" customWidth="1"/>
  </cols>
  <sheetData>
    <row r="1" spans="1:33" ht="40.5" x14ac:dyDescent="0.55000000000000004">
      <c r="A1" s="1"/>
      <c r="B1" s="2" t="str" cm="1">
        <f t="array" aca="1" ref="B1" ca="1">MID(CELL("filename", A1), FIND("]", CELL("filename", A1)) + 1, 255)</f>
        <v>MARIA, MADRE MIA</v>
      </c>
      <c r="C1" s="2"/>
      <c r="D1" s="2"/>
      <c r="E1" s="2"/>
      <c r="F1" s="3" t="s">
        <v>0</v>
      </c>
      <c r="G1" s="3"/>
      <c r="H1" s="4">
        <v>111</v>
      </c>
      <c r="I1" s="4"/>
      <c r="J1" s="4"/>
      <c r="K1" s="4"/>
      <c r="AG1" s="68"/>
    </row>
    <row r="2" spans="1:33" ht="34.5" x14ac:dyDescent="0.55000000000000004">
      <c r="A2" s="70"/>
      <c r="B2" s="5" t="s">
        <v>2</v>
      </c>
      <c r="C2" s="11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11</v>
      </c>
      <c r="L2" s="7"/>
      <c r="M2" s="5" t="s">
        <v>2</v>
      </c>
      <c r="N2" s="11" t="s">
        <v>12</v>
      </c>
      <c r="O2" s="5" t="s">
        <v>4</v>
      </c>
      <c r="P2" s="5" t="s">
        <v>5</v>
      </c>
      <c r="Q2" s="5" t="s">
        <v>6</v>
      </c>
      <c r="R2" s="5" t="s">
        <v>7</v>
      </c>
      <c r="S2" s="5" t="s">
        <v>8</v>
      </c>
      <c r="T2" s="5" t="s">
        <v>9</v>
      </c>
      <c r="U2" s="5" t="s">
        <v>10</v>
      </c>
      <c r="V2" s="5" t="s">
        <v>11</v>
      </c>
      <c r="AG2" s="68"/>
    </row>
    <row r="3" spans="1:33" ht="24.75" x14ac:dyDescent="0.4">
      <c r="A3" s="70"/>
      <c r="B3" s="12">
        <v>1</v>
      </c>
      <c r="C3" s="13"/>
      <c r="D3" s="14"/>
      <c r="E3" s="14"/>
      <c r="F3" s="15"/>
      <c r="G3" s="15"/>
      <c r="H3" s="14"/>
      <c r="I3" s="14"/>
      <c r="J3" s="15"/>
      <c r="K3" s="15"/>
      <c r="L3" s="16"/>
      <c r="M3" s="12">
        <v>1</v>
      </c>
      <c r="N3" s="13"/>
      <c r="O3" s="14"/>
      <c r="P3" s="14"/>
      <c r="Q3" s="15"/>
      <c r="R3" s="15"/>
      <c r="S3" s="14"/>
      <c r="T3" s="14"/>
      <c r="U3" s="15"/>
      <c r="V3" s="15"/>
      <c r="AG3" s="68"/>
    </row>
    <row r="4" spans="1:33" s="9" customFormat="1" ht="24.75" x14ac:dyDescent="0.4">
      <c r="A4" s="70"/>
      <c r="B4" s="12">
        <f>+B3+1</f>
        <v>2</v>
      </c>
      <c r="C4" s="13"/>
      <c r="D4" s="14"/>
      <c r="E4" s="14"/>
      <c r="F4" s="14"/>
      <c r="G4" s="14"/>
      <c r="H4" s="14"/>
      <c r="I4" s="14"/>
      <c r="J4" s="14"/>
      <c r="K4" s="14"/>
      <c r="L4" s="16"/>
      <c r="M4" s="12">
        <f>+M3+1</f>
        <v>2</v>
      </c>
      <c r="N4" s="13"/>
      <c r="O4" s="14"/>
      <c r="P4" s="14"/>
      <c r="Q4" s="14"/>
      <c r="R4" s="14"/>
      <c r="S4" s="14"/>
      <c r="T4" s="14"/>
      <c r="U4" s="14"/>
      <c r="V4" s="14"/>
      <c r="W4"/>
      <c r="X4"/>
      <c r="Y4" s="5"/>
      <c r="Z4"/>
      <c r="AA4"/>
      <c r="AB4"/>
      <c r="AC4"/>
      <c r="AD4"/>
      <c r="AE4"/>
      <c r="AF4" s="5"/>
      <c r="AG4" s="69"/>
    </row>
    <row r="5" spans="1:33" s="9" customFormat="1" ht="24.75" x14ac:dyDescent="0.4">
      <c r="A5" s="70"/>
      <c r="B5" s="12">
        <f>+B4+1</f>
        <v>3</v>
      </c>
      <c r="C5" s="13"/>
      <c r="D5" s="14"/>
      <c r="E5" s="14"/>
      <c r="F5" s="15"/>
      <c r="G5" s="15"/>
      <c r="H5" s="14"/>
      <c r="I5" s="14"/>
      <c r="J5" s="15"/>
      <c r="K5" s="15"/>
      <c r="L5" s="16"/>
      <c r="M5" s="12">
        <f>+M4+1</f>
        <v>3</v>
      </c>
      <c r="N5" s="13"/>
      <c r="O5" s="14"/>
      <c r="P5" s="14"/>
      <c r="Q5" s="15"/>
      <c r="R5" s="15"/>
      <c r="S5" s="14"/>
      <c r="T5" s="14"/>
      <c r="U5" s="15"/>
      <c r="V5" s="15"/>
      <c r="W5"/>
      <c r="X5"/>
      <c r="Y5" s="5"/>
      <c r="Z5"/>
      <c r="AA5"/>
      <c r="AB5"/>
      <c r="AC5"/>
      <c r="AD5"/>
      <c r="AE5"/>
      <c r="AF5" s="5"/>
      <c r="AG5" s="69"/>
    </row>
    <row r="6" spans="1:33" s="9" customFormat="1" ht="24.75" x14ac:dyDescent="0.4">
      <c r="A6" s="70"/>
      <c r="B6" s="12">
        <f>+B5+1</f>
        <v>4</v>
      </c>
      <c r="C6" s="13"/>
      <c r="D6" s="14"/>
      <c r="E6" s="14"/>
      <c r="F6" s="14"/>
      <c r="G6" s="14"/>
      <c r="H6" s="14"/>
      <c r="I6" s="14"/>
      <c r="J6" s="14"/>
      <c r="K6" s="14"/>
      <c r="L6" s="16"/>
      <c r="M6" s="12">
        <f>+M5+1</f>
        <v>4</v>
      </c>
      <c r="N6" s="13"/>
      <c r="O6" s="14"/>
      <c r="P6" s="14"/>
      <c r="Q6" s="14"/>
      <c r="R6" s="14"/>
      <c r="S6" s="14"/>
      <c r="T6" s="14"/>
      <c r="U6" s="14"/>
      <c r="V6" s="14"/>
      <c r="W6"/>
      <c r="X6"/>
      <c r="Y6" s="5"/>
      <c r="Z6"/>
      <c r="AA6"/>
      <c r="AB6"/>
      <c r="AC6"/>
      <c r="AD6"/>
      <c r="AE6"/>
      <c r="AF6" s="5"/>
      <c r="AG6" s="69"/>
    </row>
    <row r="7" spans="1:33" s="9" customFormat="1" ht="24.75" x14ac:dyDescent="0.4">
      <c r="A7" s="70"/>
      <c r="B7" s="12">
        <f>+B6+1</f>
        <v>5</v>
      </c>
      <c r="C7" s="13"/>
      <c r="D7" s="14"/>
      <c r="E7" s="14"/>
      <c r="F7" s="15"/>
      <c r="G7" s="15"/>
      <c r="H7" s="14"/>
      <c r="I7" s="14"/>
      <c r="J7" s="15"/>
      <c r="K7" s="15"/>
      <c r="L7" s="16"/>
      <c r="M7" s="12">
        <f>+M6+1</f>
        <v>5</v>
      </c>
      <c r="N7" s="13"/>
      <c r="O7" s="14"/>
      <c r="P7" s="14"/>
      <c r="Q7" s="15"/>
      <c r="R7" s="15"/>
      <c r="S7" s="14"/>
      <c r="T7" s="14"/>
      <c r="U7" s="15"/>
      <c r="V7" s="15"/>
      <c r="W7"/>
      <c r="X7"/>
      <c r="Y7" s="5"/>
      <c r="Z7"/>
      <c r="AA7"/>
      <c r="AB7"/>
      <c r="AC7"/>
      <c r="AD7"/>
      <c r="AE7"/>
      <c r="AF7" s="5"/>
      <c r="AG7" s="69"/>
    </row>
    <row r="8" spans="1:33" s="9" customFormat="1" ht="24.75" x14ac:dyDescent="0.4">
      <c r="A8" s="70"/>
      <c r="B8" s="12">
        <f>+B7+1</f>
        <v>6</v>
      </c>
      <c r="C8" s="13"/>
      <c r="D8" s="14"/>
      <c r="E8" s="14"/>
      <c r="F8" s="14"/>
      <c r="G8" s="14"/>
      <c r="H8" s="14"/>
      <c r="I8" s="14"/>
      <c r="J8" s="14"/>
      <c r="K8" s="14"/>
      <c r="L8" s="16"/>
      <c r="M8" s="12">
        <f>+M7+1</f>
        <v>6</v>
      </c>
      <c r="N8" s="13"/>
      <c r="O8" s="14"/>
      <c r="P8" s="14"/>
      <c r="Q8" s="14"/>
      <c r="R8" s="14"/>
      <c r="S8" s="14"/>
      <c r="T8" s="14"/>
      <c r="U8" s="14"/>
      <c r="V8" s="14"/>
      <c r="W8"/>
      <c r="X8"/>
      <c r="Y8" s="5"/>
      <c r="Z8"/>
      <c r="AA8"/>
      <c r="AB8"/>
      <c r="AC8"/>
      <c r="AD8"/>
      <c r="AE8"/>
      <c r="AF8" s="5"/>
      <c r="AG8" s="69"/>
    </row>
    <row r="9" spans="1:33" s="9" customFormat="1" ht="24.75" x14ac:dyDescent="0.4">
      <c r="A9" s="70"/>
      <c r="B9" s="12">
        <f>+B8+1</f>
        <v>7</v>
      </c>
      <c r="C9" s="13"/>
      <c r="D9" s="14"/>
      <c r="E9" s="14"/>
      <c r="F9" s="15"/>
      <c r="G9" s="15"/>
      <c r="H9" s="14"/>
      <c r="I9" s="14"/>
      <c r="J9" s="15"/>
      <c r="K9" s="15"/>
      <c r="L9" s="16"/>
      <c r="M9" s="12">
        <f>+M8+1</f>
        <v>7</v>
      </c>
      <c r="N9" s="13"/>
      <c r="O9" s="14"/>
      <c r="P9" s="14"/>
      <c r="Q9" s="15"/>
      <c r="R9" s="15"/>
      <c r="S9" s="14"/>
      <c r="T9" s="14"/>
      <c r="U9" s="15"/>
      <c r="V9" s="15"/>
      <c r="W9"/>
      <c r="X9"/>
      <c r="Y9" s="5"/>
      <c r="Z9"/>
      <c r="AA9"/>
      <c r="AB9"/>
      <c r="AC9"/>
      <c r="AD9"/>
      <c r="AE9"/>
      <c r="AF9" s="5"/>
      <c r="AG9" s="69"/>
    </row>
    <row r="10" spans="1:33" s="9" customFormat="1" ht="24.75" x14ac:dyDescent="0.4">
      <c r="A10" s="70"/>
      <c r="B10" s="12">
        <f>+B9+1</f>
        <v>8</v>
      </c>
      <c r="C10" s="13"/>
      <c r="D10" s="14"/>
      <c r="E10" s="14"/>
      <c r="F10" s="14"/>
      <c r="G10" s="14"/>
      <c r="H10" s="14"/>
      <c r="I10" s="14"/>
      <c r="J10" s="14"/>
      <c r="K10" s="14"/>
      <c r="L10" s="16"/>
      <c r="M10" s="12">
        <f>+M9+1</f>
        <v>8</v>
      </c>
      <c r="N10" s="13"/>
      <c r="O10" s="14"/>
      <c r="P10" s="14"/>
      <c r="Q10" s="14"/>
      <c r="R10" s="14"/>
      <c r="S10" s="14"/>
      <c r="T10" s="14"/>
      <c r="U10" s="14"/>
      <c r="V10" s="14"/>
      <c r="W10"/>
      <c r="X10"/>
      <c r="Y10" s="5"/>
      <c r="Z10"/>
      <c r="AA10"/>
      <c r="AB10"/>
      <c r="AC10"/>
      <c r="AD10"/>
      <c r="AE10"/>
      <c r="AF10" s="5"/>
      <c r="AG10" s="69"/>
    </row>
    <row r="11" spans="1:33" s="9" customFormat="1" ht="24.75" x14ac:dyDescent="0.4">
      <c r="A11" s="70"/>
      <c r="B11" s="12">
        <f>+B10+1</f>
        <v>9</v>
      </c>
      <c r="C11" s="13"/>
      <c r="D11" s="14"/>
      <c r="E11" s="14"/>
      <c r="F11" s="15"/>
      <c r="G11" s="15"/>
      <c r="H11" s="14"/>
      <c r="I11" s="14"/>
      <c r="J11" s="15"/>
      <c r="K11" s="15"/>
      <c r="L11" s="16"/>
      <c r="M11" s="12">
        <f>+M10+1</f>
        <v>9</v>
      </c>
      <c r="N11" s="13"/>
      <c r="O11" s="14"/>
      <c r="P11" s="14"/>
      <c r="Q11" s="15"/>
      <c r="R11" s="15"/>
      <c r="S11" s="14"/>
      <c r="T11" s="14"/>
      <c r="U11" s="15"/>
      <c r="V11" s="15"/>
      <c r="W11"/>
      <c r="X11"/>
      <c r="Y11" s="5"/>
      <c r="Z11"/>
      <c r="AA11"/>
      <c r="AB11"/>
      <c r="AC11"/>
      <c r="AD11"/>
      <c r="AE11"/>
      <c r="AF11" s="5"/>
      <c r="AG11" s="69"/>
    </row>
    <row r="12" spans="1:33" s="9" customFormat="1" ht="24.75" x14ac:dyDescent="0.4">
      <c r="A12" s="70"/>
      <c r="B12" s="12">
        <f>+B11+1</f>
        <v>10</v>
      </c>
      <c r="C12" s="13"/>
      <c r="D12" s="14"/>
      <c r="E12" s="14"/>
      <c r="F12" s="14"/>
      <c r="G12" s="14"/>
      <c r="H12" s="14"/>
      <c r="I12" s="14"/>
      <c r="J12" s="14"/>
      <c r="K12" s="14"/>
      <c r="L12" s="16"/>
      <c r="M12" s="12">
        <f>+M11+1</f>
        <v>10</v>
      </c>
      <c r="N12" s="13"/>
      <c r="O12" s="14"/>
      <c r="P12" s="14"/>
      <c r="Q12" s="14"/>
      <c r="R12" s="14"/>
      <c r="S12" s="14"/>
      <c r="T12" s="14"/>
      <c r="U12" s="14"/>
      <c r="V12" s="14"/>
      <c r="W12"/>
      <c r="X12"/>
      <c r="Y12" s="5"/>
      <c r="Z12"/>
      <c r="AA12"/>
      <c r="AB12"/>
      <c r="AC12"/>
      <c r="AD12"/>
      <c r="AE12"/>
      <c r="AF12" s="5"/>
      <c r="AG12" s="69"/>
    </row>
    <row r="13" spans="1:33" s="9" customFormat="1" ht="24.75" x14ac:dyDescent="0.4">
      <c r="A13" s="70"/>
      <c r="B13" s="12">
        <f>+B12+1</f>
        <v>11</v>
      </c>
      <c r="C13" s="13"/>
      <c r="D13" s="14"/>
      <c r="E13" s="14"/>
      <c r="F13" s="15"/>
      <c r="G13" s="15"/>
      <c r="H13" s="14"/>
      <c r="I13" s="14"/>
      <c r="J13" s="15"/>
      <c r="K13" s="15"/>
      <c r="L13" s="16"/>
      <c r="M13" s="12">
        <f>+M12+1</f>
        <v>11</v>
      </c>
      <c r="N13" s="13"/>
      <c r="O13" s="14"/>
      <c r="P13" s="14"/>
      <c r="Q13" s="15"/>
      <c r="R13" s="15"/>
      <c r="S13" s="14"/>
      <c r="T13" s="14"/>
      <c r="U13" s="15"/>
      <c r="V13" s="15"/>
      <c r="W13"/>
      <c r="X13"/>
      <c r="Y13" s="5"/>
      <c r="Z13"/>
      <c r="AA13"/>
      <c r="AB13"/>
      <c r="AC13"/>
      <c r="AD13"/>
      <c r="AE13"/>
      <c r="AF13" s="5"/>
      <c r="AG13" s="69"/>
    </row>
    <row r="14" spans="1:33" s="9" customFormat="1" ht="24.75" x14ac:dyDescent="0.4">
      <c r="A14" s="70"/>
      <c r="B14" s="12">
        <f>+B13+1</f>
        <v>12</v>
      </c>
      <c r="C14" s="13"/>
      <c r="D14" s="14"/>
      <c r="E14" s="14"/>
      <c r="F14" s="14"/>
      <c r="G14" s="14"/>
      <c r="H14" s="14"/>
      <c r="I14" s="14"/>
      <c r="J14" s="14"/>
      <c r="K14" s="14"/>
      <c r="L14" s="16"/>
      <c r="M14" s="12">
        <f>+M13+1</f>
        <v>12</v>
      </c>
      <c r="N14" s="13"/>
      <c r="O14" s="14"/>
      <c r="P14" s="14"/>
      <c r="Q14" s="14"/>
      <c r="R14" s="14"/>
      <c r="S14" s="14"/>
      <c r="T14" s="14"/>
      <c r="U14" s="14"/>
      <c r="V14" s="14"/>
      <c r="W14"/>
      <c r="X14"/>
      <c r="Y14" s="5"/>
      <c r="Z14"/>
      <c r="AA14"/>
      <c r="AB14"/>
      <c r="AC14"/>
      <c r="AD14"/>
      <c r="AE14"/>
      <c r="AF14" s="5"/>
      <c r="AG14" s="69"/>
    </row>
    <row r="15" spans="1:33" s="9" customFormat="1" ht="24.75" x14ac:dyDescent="0.4">
      <c r="A15" s="70"/>
      <c r="B15" s="12">
        <f>+B14+1</f>
        <v>13</v>
      </c>
      <c r="C15" s="13"/>
      <c r="D15" s="14"/>
      <c r="E15" s="14"/>
      <c r="F15" s="15"/>
      <c r="G15" s="15"/>
      <c r="H15" s="14"/>
      <c r="I15" s="14"/>
      <c r="J15" s="15"/>
      <c r="K15" s="15"/>
      <c r="L15" s="16"/>
      <c r="M15" s="12">
        <f>+M14+1</f>
        <v>13</v>
      </c>
      <c r="N15" s="13"/>
      <c r="O15" s="14"/>
      <c r="P15" s="14"/>
      <c r="Q15" s="15"/>
      <c r="R15" s="15"/>
      <c r="S15" s="14"/>
      <c r="T15" s="14"/>
      <c r="U15" s="15"/>
      <c r="V15" s="15"/>
      <c r="W15"/>
      <c r="X15"/>
      <c r="Y15" s="5"/>
      <c r="Z15"/>
      <c r="AA15"/>
      <c r="AB15"/>
      <c r="AC15"/>
      <c r="AD15"/>
      <c r="AE15"/>
      <c r="AF15" s="5"/>
      <c r="AG15" s="69"/>
    </row>
    <row r="16" spans="1:33" s="9" customFormat="1" ht="24.75" x14ac:dyDescent="0.4">
      <c r="A16" s="70"/>
      <c r="B16" s="12">
        <f>+B15+1</f>
        <v>14</v>
      </c>
      <c r="C16" s="13"/>
      <c r="D16" s="14"/>
      <c r="E16" s="14"/>
      <c r="F16" s="14"/>
      <c r="G16" s="14"/>
      <c r="H16" s="14"/>
      <c r="I16" s="14"/>
      <c r="J16" s="14"/>
      <c r="K16" s="14"/>
      <c r="L16" s="16"/>
      <c r="M16" s="12">
        <f>+M15+1</f>
        <v>14</v>
      </c>
      <c r="N16" s="13"/>
      <c r="O16" s="14"/>
      <c r="P16" s="14"/>
      <c r="Q16" s="14"/>
      <c r="R16" s="14"/>
      <c r="S16" s="14"/>
      <c r="T16" s="14"/>
      <c r="U16" s="14"/>
      <c r="V16" s="14"/>
      <c r="W16"/>
      <c r="X16"/>
      <c r="Y16" s="5"/>
      <c r="Z16"/>
      <c r="AA16"/>
      <c r="AB16"/>
      <c r="AC16"/>
      <c r="AD16"/>
      <c r="AE16"/>
      <c r="AF16" s="5"/>
      <c r="AG16" s="69"/>
    </row>
    <row r="17" spans="1:33" s="9" customFormat="1" ht="24.75" x14ac:dyDescent="0.4">
      <c r="A17" s="70"/>
      <c r="B17" s="12">
        <f>+B16+1</f>
        <v>15</v>
      </c>
      <c r="C17" s="13"/>
      <c r="D17" s="14"/>
      <c r="E17" s="14"/>
      <c r="F17" s="15"/>
      <c r="G17" s="15"/>
      <c r="H17" s="14"/>
      <c r="I17" s="14"/>
      <c r="J17" s="15"/>
      <c r="K17" s="15"/>
      <c r="L17" s="16"/>
      <c r="M17" s="12">
        <f>+M16+1</f>
        <v>15</v>
      </c>
      <c r="N17" s="13"/>
      <c r="O17" s="14"/>
      <c r="P17" s="14"/>
      <c r="Q17" s="15"/>
      <c r="R17" s="15"/>
      <c r="S17" s="14"/>
      <c r="T17" s="14"/>
      <c r="U17" s="15"/>
      <c r="V17" s="15"/>
      <c r="W17"/>
      <c r="X17"/>
      <c r="Y17" s="5"/>
      <c r="Z17"/>
      <c r="AA17"/>
      <c r="AB17"/>
      <c r="AC17"/>
      <c r="AD17"/>
      <c r="AE17"/>
      <c r="AF17" s="5"/>
      <c r="AG17" s="69"/>
    </row>
    <row r="18" spans="1:33" s="9" customFormat="1" ht="24.75" x14ac:dyDescent="0.4">
      <c r="A18" s="70"/>
      <c r="B18" s="12">
        <f>+B17+1</f>
        <v>16</v>
      </c>
      <c r="C18" s="13"/>
      <c r="D18" s="14"/>
      <c r="E18" s="14"/>
      <c r="F18" s="14"/>
      <c r="G18" s="14"/>
      <c r="H18" s="14"/>
      <c r="I18" s="14"/>
      <c r="J18" s="14"/>
      <c r="K18" s="14"/>
      <c r="L18" s="16"/>
      <c r="M18" s="12">
        <f>+M17+1</f>
        <v>16</v>
      </c>
      <c r="N18" s="13"/>
      <c r="O18" s="14"/>
      <c r="P18" s="14"/>
      <c r="Q18" s="14"/>
      <c r="R18" s="14"/>
      <c r="S18" s="14"/>
      <c r="T18" s="14"/>
      <c r="U18" s="14"/>
      <c r="V18" s="14"/>
      <c r="W18"/>
      <c r="X18"/>
      <c r="Y18" s="5"/>
      <c r="Z18"/>
      <c r="AA18"/>
      <c r="AB18"/>
      <c r="AC18"/>
      <c r="AD18"/>
      <c r="AE18"/>
      <c r="AF18" s="5"/>
      <c r="AG18" s="69"/>
    </row>
    <row r="19" spans="1:33" s="9" customFormat="1" ht="24.75" x14ac:dyDescent="0.4">
      <c r="A19" s="70"/>
      <c r="B19" s="12">
        <f>+B18+1</f>
        <v>17</v>
      </c>
      <c r="C19" s="13"/>
      <c r="D19" s="14"/>
      <c r="E19" s="14"/>
      <c r="F19" s="15"/>
      <c r="G19" s="15"/>
      <c r="H19" s="14"/>
      <c r="I19" s="14"/>
      <c r="J19" s="15"/>
      <c r="K19" s="15"/>
      <c r="L19" s="16"/>
      <c r="M19" s="12">
        <f>+M18+1</f>
        <v>17</v>
      </c>
      <c r="N19" s="13"/>
      <c r="O19" s="14"/>
      <c r="P19" s="14"/>
      <c r="Q19" s="15"/>
      <c r="R19" s="15"/>
      <c r="S19" s="14"/>
      <c r="T19" s="14"/>
      <c r="U19" s="15"/>
      <c r="V19" s="15"/>
      <c r="W19"/>
      <c r="X19"/>
      <c r="Y19" s="5"/>
      <c r="Z19"/>
      <c r="AA19"/>
      <c r="AB19"/>
      <c r="AC19"/>
      <c r="AD19"/>
      <c r="AE19"/>
      <c r="AF19" s="5"/>
      <c r="AG19" s="69"/>
    </row>
    <row r="20" spans="1:33" s="9" customFormat="1" ht="24.75" x14ac:dyDescent="0.4">
      <c r="A20" s="70"/>
      <c r="B20" s="12">
        <f>+B19+1</f>
        <v>18</v>
      </c>
      <c r="C20" s="13"/>
      <c r="D20" s="14"/>
      <c r="E20" s="14"/>
      <c r="F20" s="14"/>
      <c r="G20" s="14"/>
      <c r="H20" s="14"/>
      <c r="I20" s="14"/>
      <c r="J20" s="14"/>
      <c r="K20" s="14"/>
      <c r="L20" s="16"/>
      <c r="M20" s="12">
        <f>+M19+1</f>
        <v>18</v>
      </c>
      <c r="N20" s="13"/>
      <c r="O20" s="14"/>
      <c r="P20" s="14"/>
      <c r="Q20" s="14"/>
      <c r="R20" s="14"/>
      <c r="S20" s="14"/>
      <c r="T20" s="14"/>
      <c r="U20" s="14"/>
      <c r="V20" s="14"/>
      <c r="W20"/>
      <c r="X20"/>
      <c r="Y20" s="5"/>
      <c r="Z20"/>
      <c r="AA20"/>
      <c r="AB20"/>
      <c r="AC20"/>
      <c r="AD20"/>
      <c r="AE20"/>
      <c r="AF20" s="5"/>
      <c r="AG20" s="69"/>
    </row>
    <row r="21" spans="1:33" s="9" customFormat="1" ht="24.75" x14ac:dyDescent="0.4">
      <c r="A21" s="70"/>
      <c r="B21" s="12">
        <f>+B20+1</f>
        <v>19</v>
      </c>
      <c r="C21" s="13"/>
      <c r="D21" s="14"/>
      <c r="E21" s="14"/>
      <c r="F21" s="15"/>
      <c r="G21" s="15"/>
      <c r="H21" s="14"/>
      <c r="I21" s="14"/>
      <c r="J21" s="15"/>
      <c r="K21" s="15"/>
      <c r="L21" s="16"/>
      <c r="M21" s="12">
        <f>+M20+1</f>
        <v>19</v>
      </c>
      <c r="N21" s="13"/>
      <c r="O21" s="14"/>
      <c r="P21" s="14"/>
      <c r="Q21" s="15"/>
      <c r="R21" s="15"/>
      <c r="S21" s="14"/>
      <c r="T21" s="14"/>
      <c r="U21" s="15"/>
      <c r="V21" s="15"/>
      <c r="W21"/>
      <c r="X21"/>
      <c r="Y21" s="5"/>
      <c r="Z21"/>
      <c r="AA21"/>
      <c r="AB21"/>
      <c r="AC21"/>
      <c r="AD21"/>
      <c r="AE21"/>
      <c r="AF21" s="5"/>
      <c r="AG21" s="69"/>
    </row>
    <row r="22" spans="1:33" s="9" customFormat="1" ht="24.75" x14ac:dyDescent="0.4">
      <c r="A22" s="70"/>
      <c r="B22" s="12">
        <f>+B21+1</f>
        <v>20</v>
      </c>
      <c r="C22" s="13"/>
      <c r="D22" s="14"/>
      <c r="E22" s="14"/>
      <c r="F22" s="14"/>
      <c r="G22" s="14"/>
      <c r="H22" s="14"/>
      <c r="I22" s="14"/>
      <c r="J22" s="14"/>
      <c r="K22" s="14"/>
      <c r="L22" s="16"/>
      <c r="M22" s="12">
        <f>+M21+1</f>
        <v>20</v>
      </c>
      <c r="N22" s="13"/>
      <c r="O22" s="14"/>
      <c r="P22" s="14"/>
      <c r="Q22" s="14"/>
      <c r="R22" s="14"/>
      <c r="S22" s="14"/>
      <c r="T22" s="14"/>
      <c r="U22" s="14"/>
      <c r="V22" s="14"/>
      <c r="W22"/>
      <c r="X22"/>
      <c r="Y22" s="5"/>
      <c r="Z22"/>
      <c r="AA22"/>
      <c r="AB22"/>
      <c r="AC22"/>
      <c r="AD22"/>
      <c r="AE22"/>
      <c r="AF22" s="5"/>
      <c r="AG22" s="69"/>
    </row>
    <row r="23" spans="1:33" s="9" customFormat="1" ht="24.75" x14ac:dyDescent="0.4">
      <c r="A23" s="70"/>
      <c r="B23" s="12">
        <f>+B22+1</f>
        <v>21</v>
      </c>
      <c r="C23" s="13"/>
      <c r="D23" s="14"/>
      <c r="E23" s="14"/>
      <c r="F23" s="15"/>
      <c r="G23" s="15"/>
      <c r="H23" s="14"/>
      <c r="I23" s="14"/>
      <c r="J23" s="15"/>
      <c r="K23" s="15"/>
      <c r="L23" s="16"/>
      <c r="M23" s="12">
        <f>+M22+1</f>
        <v>21</v>
      </c>
      <c r="N23" s="13"/>
      <c r="O23" s="14"/>
      <c r="P23" s="14"/>
      <c r="Q23" s="15"/>
      <c r="R23" s="15"/>
      <c r="S23" s="14"/>
      <c r="T23" s="14"/>
      <c r="U23" s="15"/>
      <c r="V23" s="15"/>
      <c r="W23"/>
      <c r="X23"/>
      <c r="Y23" s="5"/>
      <c r="Z23"/>
      <c r="AA23"/>
      <c r="AB23"/>
      <c r="AC23"/>
      <c r="AD23"/>
      <c r="AE23"/>
      <c r="AF23" s="5"/>
      <c r="AG23" s="69"/>
    </row>
    <row r="24" spans="1:33" s="9" customFormat="1" ht="24.75" x14ac:dyDescent="0.4">
      <c r="A24" s="70"/>
      <c r="B24" s="12">
        <f>+B23+1</f>
        <v>22</v>
      </c>
      <c r="C24" s="13"/>
      <c r="D24" s="14"/>
      <c r="E24" s="14"/>
      <c r="F24" s="14"/>
      <c r="G24" s="14"/>
      <c r="H24" s="14"/>
      <c r="I24" s="14"/>
      <c r="J24" s="14"/>
      <c r="K24" s="14"/>
      <c r="L24" s="16"/>
      <c r="M24" s="12">
        <f>+M23+1</f>
        <v>22</v>
      </c>
      <c r="N24" s="13"/>
      <c r="O24" s="14"/>
      <c r="P24" s="14"/>
      <c r="Q24" s="14"/>
      <c r="R24" s="14"/>
      <c r="S24" s="14"/>
      <c r="T24" s="14"/>
      <c r="U24" s="14"/>
      <c r="V24" s="14"/>
      <c r="W24"/>
      <c r="X24"/>
      <c r="Y24" s="5"/>
      <c r="Z24"/>
      <c r="AA24"/>
      <c r="AB24"/>
      <c r="AC24"/>
      <c r="AD24"/>
      <c r="AE24"/>
      <c r="AF24" s="5"/>
      <c r="AG24" s="69"/>
    </row>
    <row r="25" spans="1:33" s="9" customFormat="1" ht="24.75" x14ac:dyDescent="0.4">
      <c r="A25" s="70"/>
      <c r="B25" s="12">
        <f>+B24+1</f>
        <v>23</v>
      </c>
      <c r="C25" s="13"/>
      <c r="D25" s="14"/>
      <c r="E25" s="14"/>
      <c r="F25" s="15"/>
      <c r="G25" s="15"/>
      <c r="H25" s="14"/>
      <c r="I25" s="14"/>
      <c r="J25" s="15"/>
      <c r="K25" s="15"/>
      <c r="L25" s="16"/>
      <c r="M25" s="12">
        <f>+M24+1</f>
        <v>23</v>
      </c>
      <c r="N25" s="13"/>
      <c r="O25" s="14"/>
      <c r="P25" s="14"/>
      <c r="Q25" s="15"/>
      <c r="R25" s="15"/>
      <c r="S25" s="14"/>
      <c r="T25" s="14"/>
      <c r="U25" s="15"/>
      <c r="V25" s="15"/>
      <c r="W25"/>
      <c r="X25"/>
      <c r="Y25" s="5"/>
      <c r="Z25"/>
      <c r="AA25"/>
      <c r="AB25"/>
      <c r="AC25"/>
      <c r="AD25"/>
      <c r="AE25"/>
      <c r="AF25" s="5"/>
      <c r="AG25" s="69"/>
    </row>
    <row r="26" spans="1:33" s="9" customFormat="1" ht="24.75" x14ac:dyDescent="0.4">
      <c r="A26" s="70"/>
      <c r="B26" s="12">
        <f>+B25+1</f>
        <v>24</v>
      </c>
      <c r="C26" s="13"/>
      <c r="D26" s="14"/>
      <c r="E26" s="14"/>
      <c r="F26" s="14"/>
      <c r="G26" s="14"/>
      <c r="H26" s="14"/>
      <c r="I26" s="14"/>
      <c r="J26" s="14"/>
      <c r="K26" s="14"/>
      <c r="L26" s="16"/>
      <c r="M26" s="12">
        <f>+M25+1</f>
        <v>24</v>
      </c>
      <c r="N26" s="13"/>
      <c r="O26" s="14"/>
      <c r="P26" s="14"/>
      <c r="Q26" s="14"/>
      <c r="R26" s="14"/>
      <c r="S26" s="14"/>
      <c r="T26" s="14"/>
      <c r="U26" s="14"/>
      <c r="V26" s="14"/>
      <c r="W26"/>
      <c r="X26"/>
      <c r="Y26" s="5"/>
      <c r="Z26"/>
      <c r="AA26"/>
      <c r="AB26"/>
      <c r="AC26"/>
      <c r="AD26"/>
      <c r="AE26"/>
      <c r="AF26" s="5"/>
      <c r="AG26" s="69"/>
    </row>
    <row r="27" spans="1:33" s="9" customFormat="1" ht="24.75" x14ac:dyDescent="0.4">
      <c r="A27" s="70"/>
      <c r="B27" s="12">
        <f>+B26+1</f>
        <v>25</v>
      </c>
      <c r="C27" s="13"/>
      <c r="D27" s="14"/>
      <c r="E27" s="14"/>
      <c r="F27" s="15"/>
      <c r="G27" s="15"/>
      <c r="H27" s="14"/>
      <c r="I27" s="14"/>
      <c r="J27" s="15"/>
      <c r="K27" s="15"/>
      <c r="L27" s="16"/>
      <c r="M27" s="12">
        <f>+M26+1</f>
        <v>25</v>
      </c>
      <c r="N27" s="13"/>
      <c r="O27" s="14"/>
      <c r="P27" s="14"/>
      <c r="Q27" s="15"/>
      <c r="R27" s="15"/>
      <c r="S27" s="14"/>
      <c r="T27" s="14"/>
      <c r="U27" s="15"/>
      <c r="V27" s="15"/>
      <c r="W27"/>
      <c r="X27"/>
      <c r="Y27" s="5"/>
      <c r="Z27"/>
      <c r="AA27"/>
      <c r="AB27"/>
      <c r="AC27"/>
      <c r="AD27"/>
      <c r="AE27"/>
      <c r="AF27" s="5"/>
      <c r="AG27" s="69"/>
    </row>
    <row r="28" spans="1:33" s="9" customFormat="1" ht="24.75" x14ac:dyDescent="0.4">
      <c r="A28" s="70"/>
      <c r="B28" s="12">
        <f>+B27+1</f>
        <v>26</v>
      </c>
      <c r="C28" s="13"/>
      <c r="D28" s="14"/>
      <c r="E28" s="14"/>
      <c r="F28" s="14"/>
      <c r="G28" s="14"/>
      <c r="H28" s="14"/>
      <c r="I28" s="14"/>
      <c r="J28" s="14"/>
      <c r="K28" s="14"/>
      <c r="L28" s="16"/>
      <c r="M28" s="12">
        <f>+M27+1</f>
        <v>26</v>
      </c>
      <c r="N28" s="13"/>
      <c r="O28" s="14"/>
      <c r="P28" s="14"/>
      <c r="Q28" s="14"/>
      <c r="R28" s="14"/>
      <c r="S28" s="14"/>
      <c r="T28" s="14"/>
      <c r="U28" s="14"/>
      <c r="V28" s="14"/>
      <c r="W28"/>
      <c r="X28"/>
      <c r="Y28" s="5"/>
      <c r="Z28"/>
      <c r="AA28"/>
      <c r="AB28"/>
      <c r="AC28"/>
      <c r="AD28"/>
      <c r="AE28"/>
      <c r="AF28" s="5"/>
      <c r="AG28" s="69"/>
    </row>
    <row r="29" spans="1:33" s="9" customFormat="1" ht="24.75" x14ac:dyDescent="0.4">
      <c r="A29" s="70"/>
      <c r="B29" s="12">
        <f>+B28+1</f>
        <v>27</v>
      </c>
      <c r="C29" s="13"/>
      <c r="D29" s="14"/>
      <c r="E29" s="14"/>
      <c r="F29" s="15"/>
      <c r="G29" s="15"/>
      <c r="H29" s="14"/>
      <c r="I29" s="14"/>
      <c r="J29" s="15"/>
      <c r="K29" s="15"/>
      <c r="L29" s="16"/>
      <c r="M29" s="12">
        <f>+M28+1</f>
        <v>27</v>
      </c>
      <c r="N29" s="13"/>
      <c r="O29" s="14"/>
      <c r="P29" s="14"/>
      <c r="Q29" s="15"/>
      <c r="R29" s="15"/>
      <c r="S29" s="14"/>
      <c r="T29" s="14"/>
      <c r="U29" s="15"/>
      <c r="V29" s="15"/>
      <c r="W29"/>
      <c r="X29"/>
      <c r="Y29" s="5"/>
      <c r="Z29"/>
      <c r="AA29"/>
      <c r="AB29"/>
      <c r="AC29"/>
      <c r="AD29"/>
      <c r="AE29"/>
      <c r="AF29" s="5"/>
      <c r="AG29" s="69"/>
    </row>
    <row r="30" spans="1:33" s="9" customFormat="1" ht="24.75" x14ac:dyDescent="0.4">
      <c r="A30" s="70"/>
      <c r="B30" s="12">
        <f>+B29+1</f>
        <v>28</v>
      </c>
      <c r="C30" s="13"/>
      <c r="D30" s="14"/>
      <c r="E30" s="14"/>
      <c r="F30" s="14"/>
      <c r="G30" s="14"/>
      <c r="H30" s="14"/>
      <c r="I30" s="14"/>
      <c r="J30" s="14"/>
      <c r="K30" s="14"/>
      <c r="L30" s="16"/>
      <c r="M30" s="12">
        <f>+M29+1</f>
        <v>28</v>
      </c>
      <c r="N30" s="13"/>
      <c r="O30" s="14"/>
      <c r="P30" s="14"/>
      <c r="Q30" s="14"/>
      <c r="R30" s="14"/>
      <c r="S30" s="14"/>
      <c r="T30" s="14"/>
      <c r="U30" s="14"/>
      <c r="V30" s="14"/>
      <c r="W30"/>
      <c r="X30"/>
      <c r="Y30" s="5"/>
      <c r="Z30"/>
      <c r="AA30"/>
      <c r="AB30"/>
      <c r="AC30"/>
      <c r="AD30"/>
      <c r="AE30"/>
      <c r="AF30" s="5"/>
      <c r="AG30" s="69"/>
    </row>
    <row r="31" spans="1:33" s="9" customFormat="1" ht="24.75" x14ac:dyDescent="0.4">
      <c r="A31" s="70"/>
      <c r="B31" s="12">
        <f>+B30+1</f>
        <v>29</v>
      </c>
      <c r="C31" s="13"/>
      <c r="D31" s="14"/>
      <c r="E31" s="14"/>
      <c r="F31" s="15"/>
      <c r="G31" s="15"/>
      <c r="H31" s="14"/>
      <c r="I31" s="14"/>
      <c r="J31" s="15"/>
      <c r="K31" s="15"/>
      <c r="L31" s="7"/>
      <c r="M31" s="12">
        <f>+M30+1</f>
        <v>29</v>
      </c>
      <c r="N31" s="13"/>
      <c r="O31" s="14"/>
      <c r="P31" s="14"/>
      <c r="Q31" s="15"/>
      <c r="R31" s="15"/>
      <c r="S31" s="14"/>
      <c r="T31" s="14"/>
      <c r="U31" s="15"/>
      <c r="V31" s="15"/>
      <c r="W31"/>
      <c r="X31"/>
      <c r="Y31" s="5"/>
      <c r="Z31"/>
      <c r="AA31"/>
      <c r="AB31"/>
      <c r="AC31"/>
      <c r="AD31"/>
      <c r="AE31"/>
      <c r="AF31" s="5"/>
      <c r="AG31" s="69"/>
    </row>
    <row r="32" spans="1:33" s="9" customFormat="1" ht="24.75" x14ac:dyDescent="0.4">
      <c r="A32" s="70"/>
      <c r="B32" s="12">
        <f>+B31+1</f>
        <v>30</v>
      </c>
      <c r="C32" s="13"/>
      <c r="D32" s="14"/>
      <c r="E32" s="14"/>
      <c r="F32" s="14"/>
      <c r="G32" s="14"/>
      <c r="H32" s="14"/>
      <c r="I32" s="14"/>
      <c r="J32" s="14"/>
      <c r="K32" s="14"/>
      <c r="L32" s="7"/>
      <c r="M32" s="12">
        <f>+M31+1</f>
        <v>30</v>
      </c>
      <c r="N32" s="13"/>
      <c r="O32" s="14"/>
      <c r="P32" s="14"/>
      <c r="Q32" s="14"/>
      <c r="R32" s="14"/>
      <c r="S32" s="14"/>
      <c r="T32" s="14"/>
      <c r="U32" s="14"/>
      <c r="V32" s="14"/>
      <c r="W32"/>
      <c r="X32"/>
      <c r="Y32" s="5"/>
      <c r="Z32"/>
      <c r="AA32"/>
      <c r="AB32"/>
      <c r="AC32"/>
      <c r="AD32"/>
      <c r="AE32"/>
      <c r="AF32" s="5"/>
      <c r="AG32" s="69"/>
    </row>
    <row r="33" spans="1:33" s="9" customFormat="1" ht="24.75" x14ac:dyDescent="0.4">
      <c r="A33" s="70"/>
      <c r="B33" s="12">
        <f>+B32+1</f>
        <v>31</v>
      </c>
      <c r="C33" s="13"/>
      <c r="D33" s="14"/>
      <c r="E33" s="14"/>
      <c r="F33" s="15"/>
      <c r="G33" s="15"/>
      <c r="H33" s="14"/>
      <c r="I33" s="14"/>
      <c r="J33" s="15"/>
      <c r="K33" s="15"/>
      <c r="L33" s="7"/>
      <c r="M33" s="12">
        <f>+M32+1</f>
        <v>31</v>
      </c>
      <c r="N33" s="13"/>
      <c r="O33" s="14"/>
      <c r="P33" s="14"/>
      <c r="Q33" s="15"/>
      <c r="R33" s="15"/>
      <c r="S33" s="14"/>
      <c r="T33" s="14"/>
      <c r="U33" s="15"/>
      <c r="V33" s="15"/>
      <c r="W33"/>
      <c r="X33"/>
      <c r="Y33" s="5"/>
      <c r="Z33"/>
      <c r="AA33"/>
      <c r="AB33"/>
      <c r="AC33"/>
      <c r="AD33"/>
      <c r="AE33"/>
      <c r="AF33" s="5"/>
      <c r="AG33" s="69"/>
    </row>
    <row r="34" spans="1:33" s="9" customFormat="1" ht="24.75" x14ac:dyDescent="0.4">
      <c r="A34" s="70"/>
      <c r="B34" s="12">
        <f>+B33+1</f>
        <v>32</v>
      </c>
      <c r="C34" s="13"/>
      <c r="D34" s="14"/>
      <c r="E34" s="14"/>
      <c r="F34" s="14"/>
      <c r="G34" s="14"/>
      <c r="H34" s="14"/>
      <c r="I34" s="14"/>
      <c r="J34" s="14"/>
      <c r="K34" s="14"/>
      <c r="L34" s="7"/>
      <c r="M34" s="12">
        <f>+M33+1</f>
        <v>32</v>
      </c>
      <c r="N34" s="13"/>
      <c r="O34" s="14"/>
      <c r="P34" s="14"/>
      <c r="Q34" s="14"/>
      <c r="R34" s="14"/>
      <c r="S34" s="14"/>
      <c r="T34" s="14"/>
      <c r="U34" s="14"/>
      <c r="V34" s="14"/>
      <c r="W34"/>
      <c r="X34"/>
      <c r="Y34" s="5"/>
      <c r="Z34"/>
      <c r="AA34"/>
      <c r="AB34"/>
      <c r="AC34"/>
      <c r="AD34"/>
      <c r="AE34"/>
      <c r="AF34" s="5"/>
      <c r="AG34" s="69"/>
    </row>
    <row r="35" spans="1:33" s="9" customFormat="1" ht="24.75" x14ac:dyDescent="0.4">
      <c r="A35" s="70"/>
      <c r="B35" s="12">
        <f>+B34+1</f>
        <v>33</v>
      </c>
      <c r="C35" s="13"/>
      <c r="D35" s="14"/>
      <c r="E35" s="14"/>
      <c r="F35" s="15"/>
      <c r="G35" s="15"/>
      <c r="H35" s="14"/>
      <c r="I35" s="14"/>
      <c r="J35" s="15"/>
      <c r="K35" s="15"/>
      <c r="L35" s="7"/>
      <c r="M35" s="12">
        <f>+M34+1</f>
        <v>33</v>
      </c>
      <c r="N35" s="13"/>
      <c r="O35" s="14"/>
      <c r="P35" s="14"/>
      <c r="Q35" s="15"/>
      <c r="R35" s="15"/>
      <c r="S35" s="14"/>
      <c r="T35" s="14"/>
      <c r="U35" s="15"/>
      <c r="V35" s="15"/>
      <c r="W35"/>
      <c r="X35"/>
      <c r="Y35" s="5"/>
      <c r="Z35"/>
      <c r="AA35"/>
      <c r="AB35"/>
      <c r="AC35"/>
      <c r="AD35"/>
      <c r="AE35"/>
      <c r="AF35" s="5"/>
      <c r="AG35" s="69"/>
    </row>
    <row r="36" spans="1:33" s="9" customFormat="1" ht="24.75" x14ac:dyDescent="0.4">
      <c r="A36" s="70"/>
      <c r="B36" s="12">
        <f>+B35+1</f>
        <v>34</v>
      </c>
      <c r="C36" s="13"/>
      <c r="D36" s="14"/>
      <c r="E36" s="14"/>
      <c r="F36" s="14"/>
      <c r="G36" s="14"/>
      <c r="H36" s="14"/>
      <c r="I36" s="14"/>
      <c r="J36" s="14"/>
      <c r="K36" s="14"/>
      <c r="L36" s="7"/>
      <c r="M36" s="12">
        <f>+M35+1</f>
        <v>34</v>
      </c>
      <c r="N36" s="13"/>
      <c r="O36" s="14"/>
      <c r="P36" s="14"/>
      <c r="Q36" s="14"/>
      <c r="R36" s="14"/>
      <c r="S36" s="14"/>
      <c r="T36" s="14"/>
      <c r="U36" s="14"/>
      <c r="V36" s="14"/>
      <c r="W36"/>
      <c r="X36"/>
      <c r="Y36" s="5"/>
      <c r="Z36"/>
      <c r="AA36"/>
      <c r="AB36"/>
      <c r="AC36"/>
      <c r="AD36"/>
      <c r="AE36"/>
      <c r="AF36" s="5"/>
      <c r="AG36" s="69"/>
    </row>
    <row r="37" spans="1:33" s="9" customFormat="1" ht="24.75" x14ac:dyDescent="0.4">
      <c r="A37" s="70"/>
      <c r="B37" s="12">
        <f>+B36+1</f>
        <v>35</v>
      </c>
      <c r="C37" s="13"/>
      <c r="D37" s="14"/>
      <c r="E37" s="14"/>
      <c r="F37" s="15"/>
      <c r="G37" s="15"/>
      <c r="H37" s="14"/>
      <c r="I37" s="14"/>
      <c r="J37" s="15"/>
      <c r="K37" s="15"/>
      <c r="L37" s="7"/>
      <c r="M37" s="12">
        <f>+M36+1</f>
        <v>35</v>
      </c>
      <c r="N37" s="13"/>
      <c r="O37" s="14"/>
      <c r="P37" s="14"/>
      <c r="Q37" s="15"/>
      <c r="R37" s="15"/>
      <c r="S37" s="14"/>
      <c r="T37" s="14"/>
      <c r="U37" s="15"/>
      <c r="V37" s="15"/>
      <c r="W37"/>
      <c r="X37"/>
      <c r="Y37" s="5"/>
      <c r="Z37"/>
      <c r="AA37"/>
      <c r="AB37"/>
      <c r="AC37"/>
      <c r="AD37"/>
      <c r="AE37"/>
      <c r="AF37" s="5"/>
      <c r="AG37" s="69"/>
    </row>
    <row r="38" spans="1:33" s="9" customFormat="1" ht="24.75" x14ac:dyDescent="0.4">
      <c r="A38" s="70"/>
      <c r="B38" s="12">
        <f>+B37+1</f>
        <v>36</v>
      </c>
      <c r="C38" s="13"/>
      <c r="D38" s="14"/>
      <c r="E38" s="14"/>
      <c r="F38" s="14"/>
      <c r="G38" s="14"/>
      <c r="H38" s="14"/>
      <c r="I38" s="14"/>
      <c r="J38" s="14"/>
      <c r="K38" s="14"/>
      <c r="L38" s="7"/>
      <c r="M38" s="12">
        <f>+M37+1</f>
        <v>36</v>
      </c>
      <c r="N38" s="13"/>
      <c r="O38" s="14"/>
      <c r="P38" s="14"/>
      <c r="Q38" s="14"/>
      <c r="R38" s="14"/>
      <c r="S38" s="14"/>
      <c r="T38" s="14"/>
      <c r="U38" s="14"/>
      <c r="V38" s="14"/>
      <c r="W38"/>
      <c r="X38"/>
      <c r="Y38" s="5"/>
      <c r="Z38"/>
      <c r="AA38"/>
      <c r="AB38"/>
      <c r="AC38"/>
      <c r="AD38"/>
      <c r="AE38"/>
      <c r="AF38" s="5"/>
      <c r="AG38" s="69"/>
    </row>
    <row r="39" spans="1:33" s="9" customFormat="1" ht="24.75" x14ac:dyDescent="0.4">
      <c r="A39" s="70"/>
      <c r="B39" s="12">
        <f>+B38+1</f>
        <v>37</v>
      </c>
      <c r="C39" s="13"/>
      <c r="D39" s="14"/>
      <c r="E39" s="14"/>
      <c r="F39" s="15"/>
      <c r="G39" s="15"/>
      <c r="H39" s="14"/>
      <c r="I39" s="14"/>
      <c r="J39" s="15"/>
      <c r="K39" s="15"/>
      <c r="L39" s="7"/>
      <c r="M39" s="12">
        <f>+M38+1</f>
        <v>37</v>
      </c>
      <c r="N39" s="13"/>
      <c r="O39" s="14"/>
      <c r="P39" s="14"/>
      <c r="Q39" s="15"/>
      <c r="R39" s="15"/>
      <c r="S39" s="14"/>
      <c r="T39" s="14"/>
      <c r="U39" s="15"/>
      <c r="V39" s="15"/>
      <c r="W39"/>
      <c r="X39"/>
      <c r="Y39" s="5"/>
      <c r="Z39"/>
      <c r="AA39"/>
      <c r="AB39"/>
      <c r="AC39"/>
      <c r="AD39"/>
      <c r="AE39"/>
      <c r="AF39" s="5"/>
      <c r="AG39" s="69"/>
    </row>
    <row r="40" spans="1:33" s="9" customFormat="1" ht="24.75" x14ac:dyDescent="0.4">
      <c r="A40" s="70"/>
      <c r="B40" s="12">
        <f>+B39+1</f>
        <v>38</v>
      </c>
      <c r="C40" s="13"/>
      <c r="D40" s="14"/>
      <c r="E40" s="14"/>
      <c r="F40" s="14"/>
      <c r="G40" s="14"/>
      <c r="H40" s="14"/>
      <c r="I40" s="14"/>
      <c r="J40" s="14"/>
      <c r="K40" s="14"/>
      <c r="L40" s="7"/>
      <c r="M40" s="12">
        <f>+M39+1</f>
        <v>38</v>
      </c>
      <c r="N40" s="13"/>
      <c r="O40" s="14"/>
      <c r="P40" s="14"/>
      <c r="Q40" s="14"/>
      <c r="R40" s="14"/>
      <c r="S40" s="14"/>
      <c r="T40" s="14"/>
      <c r="U40" s="14"/>
      <c r="V40" s="14"/>
      <c r="W40"/>
      <c r="X40"/>
      <c r="Y40" s="5"/>
      <c r="Z40"/>
      <c r="AA40"/>
      <c r="AB40"/>
      <c r="AC40"/>
      <c r="AD40"/>
      <c r="AE40"/>
      <c r="AF40" s="5"/>
      <c r="AG40" s="69"/>
    </row>
    <row r="41" spans="1:33" s="9" customFormat="1" ht="24.75" x14ac:dyDescent="0.4">
      <c r="A41" s="70"/>
      <c r="B41" s="12">
        <f>+B40+1</f>
        <v>39</v>
      </c>
      <c r="C41" s="13"/>
      <c r="D41" s="14"/>
      <c r="E41" s="14"/>
      <c r="F41" s="15"/>
      <c r="G41" s="15"/>
      <c r="H41" s="14"/>
      <c r="I41" s="14"/>
      <c r="J41" s="15"/>
      <c r="K41" s="15"/>
      <c r="L41" s="7"/>
      <c r="M41" s="12">
        <f t="shared" ref="M41:M103" si="0">+M40+1</f>
        <v>39</v>
      </c>
      <c r="N41" s="13"/>
      <c r="O41" s="14"/>
      <c r="P41" s="14"/>
      <c r="Q41" s="15"/>
      <c r="R41" s="15"/>
      <c r="S41" s="14"/>
      <c r="T41" s="14"/>
      <c r="U41" s="15"/>
      <c r="V41" s="15"/>
      <c r="W41"/>
      <c r="X41"/>
      <c r="Y41" s="5"/>
      <c r="Z41"/>
      <c r="AA41"/>
      <c r="AB41"/>
      <c r="AC41"/>
      <c r="AD41"/>
      <c r="AE41"/>
      <c r="AF41" s="5"/>
      <c r="AG41" s="69"/>
    </row>
    <row r="42" spans="1:33" s="9" customFormat="1" ht="24.75" x14ac:dyDescent="0.4">
      <c r="A42" s="70"/>
      <c r="B42" s="12">
        <f>+B41+1</f>
        <v>40</v>
      </c>
      <c r="C42" s="13"/>
      <c r="D42" s="14"/>
      <c r="E42" s="14"/>
      <c r="F42" s="14"/>
      <c r="G42" s="14"/>
      <c r="H42" s="14"/>
      <c r="I42" s="14"/>
      <c r="J42" s="16"/>
      <c r="K42" s="14"/>
      <c r="L42" s="7"/>
      <c r="M42" s="12">
        <f t="shared" si="0"/>
        <v>40</v>
      </c>
      <c r="N42" s="13"/>
      <c r="O42" s="14"/>
      <c r="P42" s="14"/>
      <c r="Q42" s="14"/>
      <c r="R42" s="14"/>
      <c r="S42" s="14"/>
      <c r="T42" s="14"/>
      <c r="U42" s="16"/>
      <c r="V42" s="14"/>
      <c r="W42"/>
      <c r="X42"/>
      <c r="Y42" s="5"/>
      <c r="Z42"/>
      <c r="AA42"/>
      <c r="AB42"/>
      <c r="AC42"/>
      <c r="AD42"/>
      <c r="AE42"/>
      <c r="AF42" s="5"/>
      <c r="AG42" s="69"/>
    </row>
    <row r="43" spans="1:33" s="9" customFormat="1" ht="24.75" x14ac:dyDescent="0.4">
      <c r="A43" s="70"/>
      <c r="B43" s="77">
        <f>+B42+1</f>
        <v>41</v>
      </c>
      <c r="C43" s="71"/>
      <c r="D43" s="72"/>
      <c r="E43" s="72"/>
      <c r="F43" s="15"/>
      <c r="G43" s="15"/>
      <c r="H43" s="14"/>
      <c r="I43" s="14"/>
      <c r="J43" s="15"/>
      <c r="K43" s="15"/>
      <c r="L43" s="5"/>
      <c r="M43" s="12">
        <f t="shared" si="0"/>
        <v>41</v>
      </c>
      <c r="N43" s="13"/>
      <c r="O43" s="14"/>
      <c r="P43" s="14"/>
      <c r="Q43" s="14"/>
      <c r="R43" s="14"/>
      <c r="S43" s="14"/>
      <c r="T43" s="14"/>
      <c r="U43" s="16"/>
      <c r="V43" s="14"/>
      <c r="W43"/>
      <c r="X43"/>
      <c r="Y43" s="5"/>
      <c r="Z43"/>
      <c r="AA43"/>
      <c r="AB43"/>
      <c r="AC43"/>
      <c r="AD43"/>
      <c r="AE43"/>
      <c r="AF43" s="5"/>
      <c r="AG43" s="69"/>
    </row>
    <row r="44" spans="1:33" s="9" customFormat="1" ht="24.75" x14ac:dyDescent="0.4">
      <c r="A44" s="70"/>
      <c r="B44" s="77">
        <f t="shared" ref="B44:B103" si="1">+B43+1</f>
        <v>42</v>
      </c>
      <c r="C44" s="71"/>
      <c r="D44" s="72"/>
      <c r="E44" s="72"/>
      <c r="F44" s="73"/>
      <c r="G44" s="74"/>
      <c r="H44" s="75"/>
      <c r="I44" s="76"/>
      <c r="J44" s="16"/>
      <c r="K44" s="75"/>
      <c r="L44" s="5"/>
      <c r="M44" s="12">
        <f t="shared" si="0"/>
        <v>42</v>
      </c>
      <c r="N44" s="13"/>
      <c r="O44" s="14"/>
      <c r="P44" s="14"/>
      <c r="Q44" s="14"/>
      <c r="R44" s="14"/>
      <c r="S44" s="14"/>
      <c r="T44" s="14"/>
      <c r="U44" s="16"/>
      <c r="V44" s="14"/>
      <c r="W44"/>
      <c r="X44"/>
      <c r="Y44" s="5"/>
      <c r="Z44"/>
      <c r="AA44"/>
      <c r="AB44"/>
      <c r="AC44"/>
      <c r="AD44"/>
      <c r="AE44"/>
      <c r="AF44" s="5"/>
      <c r="AG44" s="69"/>
    </row>
    <row r="45" spans="1:33" s="9" customFormat="1" ht="24.75" x14ac:dyDescent="0.4">
      <c r="A45" s="70"/>
      <c r="B45" s="77">
        <f t="shared" si="1"/>
        <v>43</v>
      </c>
      <c r="C45" s="71"/>
      <c r="D45" s="72"/>
      <c r="E45" s="72"/>
      <c r="F45" s="15"/>
      <c r="G45" s="15"/>
      <c r="H45" s="14"/>
      <c r="I45" s="14"/>
      <c r="J45" s="15"/>
      <c r="K45" s="15"/>
      <c r="L45" s="5"/>
      <c r="M45" s="12">
        <f t="shared" si="0"/>
        <v>43</v>
      </c>
      <c r="N45" s="13"/>
      <c r="O45" s="14"/>
      <c r="P45" s="14"/>
      <c r="Q45" s="14"/>
      <c r="R45" s="14"/>
      <c r="S45" s="14"/>
      <c r="T45" s="14"/>
      <c r="U45" s="16"/>
      <c r="V45" s="14"/>
      <c r="W45"/>
      <c r="X45"/>
      <c r="Y45" s="5"/>
      <c r="Z45"/>
      <c r="AA45"/>
      <c r="AB45"/>
      <c r="AC45"/>
      <c r="AD45"/>
      <c r="AE45"/>
      <c r="AF45" s="5"/>
      <c r="AG45" s="69"/>
    </row>
    <row r="46" spans="1:33" s="9" customFormat="1" ht="24.75" x14ac:dyDescent="0.4">
      <c r="A46" s="70"/>
      <c r="B46" s="77">
        <f t="shared" si="1"/>
        <v>44</v>
      </c>
      <c r="C46" s="71"/>
      <c r="D46" s="72"/>
      <c r="E46" s="72"/>
      <c r="F46" s="14"/>
      <c r="G46" s="14"/>
      <c r="H46" s="14"/>
      <c r="I46" s="14"/>
      <c r="J46" s="14"/>
      <c r="K46" s="14"/>
      <c r="L46" s="5"/>
      <c r="M46" s="12">
        <f t="shared" si="0"/>
        <v>44</v>
      </c>
      <c r="N46" s="13"/>
      <c r="O46" s="14"/>
      <c r="P46" s="14"/>
      <c r="Q46" s="14"/>
      <c r="R46" s="14"/>
      <c r="S46" s="14"/>
      <c r="T46" s="14"/>
      <c r="U46" s="16"/>
      <c r="V46" s="14"/>
      <c r="W46"/>
      <c r="X46"/>
      <c r="Y46" s="5"/>
      <c r="Z46"/>
      <c r="AA46"/>
      <c r="AB46"/>
      <c r="AC46"/>
      <c r="AD46"/>
      <c r="AE46"/>
      <c r="AF46" s="5"/>
      <c r="AG46" s="69"/>
    </row>
    <row r="47" spans="1:33" s="9" customFormat="1" ht="24.75" x14ac:dyDescent="0.4">
      <c r="A47" s="70"/>
      <c r="B47" s="77">
        <f t="shared" si="1"/>
        <v>45</v>
      </c>
      <c r="C47" s="71"/>
      <c r="D47" s="72"/>
      <c r="E47" s="72"/>
      <c r="F47" s="15"/>
      <c r="G47" s="15"/>
      <c r="H47" s="14"/>
      <c r="I47" s="14"/>
      <c r="J47" s="15"/>
      <c r="K47" s="15"/>
      <c r="L47" s="5"/>
      <c r="M47" s="12">
        <f t="shared" si="0"/>
        <v>45</v>
      </c>
      <c r="N47" s="13"/>
      <c r="O47" s="14"/>
      <c r="P47" s="14"/>
      <c r="Q47" s="14"/>
      <c r="R47" s="14"/>
      <c r="S47" s="14"/>
      <c r="T47" s="14"/>
      <c r="U47" s="16"/>
      <c r="V47" s="14"/>
      <c r="W47"/>
      <c r="X47"/>
      <c r="Y47" s="5"/>
      <c r="Z47"/>
      <c r="AA47"/>
      <c r="AB47"/>
      <c r="AC47"/>
      <c r="AD47"/>
      <c r="AE47"/>
      <c r="AF47" s="5"/>
      <c r="AG47" s="69"/>
    </row>
    <row r="48" spans="1:33" s="9" customFormat="1" ht="24.75" x14ac:dyDescent="0.4">
      <c r="A48" s="70"/>
      <c r="B48" s="77">
        <f t="shared" si="1"/>
        <v>46</v>
      </c>
      <c r="C48" s="71"/>
      <c r="D48" s="72"/>
      <c r="E48" s="72"/>
      <c r="F48" s="14"/>
      <c r="G48" s="14"/>
      <c r="H48" s="14"/>
      <c r="I48" s="14"/>
      <c r="J48" s="14"/>
      <c r="K48" s="14"/>
      <c r="L48" s="5"/>
      <c r="M48" s="12">
        <f t="shared" si="0"/>
        <v>46</v>
      </c>
      <c r="N48" s="13"/>
      <c r="O48" s="14"/>
      <c r="P48" s="14"/>
      <c r="Q48" s="14"/>
      <c r="R48" s="14"/>
      <c r="S48" s="14"/>
      <c r="T48" s="14"/>
      <c r="U48" s="16"/>
      <c r="V48" s="14"/>
      <c r="W48"/>
      <c r="X48"/>
      <c r="Y48" s="5"/>
      <c r="Z48"/>
      <c r="AA48"/>
      <c r="AB48"/>
      <c r="AC48"/>
      <c r="AD48"/>
      <c r="AE48"/>
      <c r="AF48" s="5"/>
      <c r="AG48" s="69"/>
    </row>
    <row r="49" spans="1:33" s="9" customFormat="1" ht="24.75" x14ac:dyDescent="0.4">
      <c r="A49" s="70"/>
      <c r="B49" s="77">
        <f t="shared" si="1"/>
        <v>47</v>
      </c>
      <c r="C49" s="71"/>
      <c r="D49" s="72"/>
      <c r="E49" s="72"/>
      <c r="F49" s="15"/>
      <c r="G49" s="15"/>
      <c r="H49" s="14"/>
      <c r="I49" s="14"/>
      <c r="J49" s="15"/>
      <c r="K49" s="15"/>
      <c r="L49" s="5"/>
      <c r="M49" s="12">
        <f t="shared" si="0"/>
        <v>47</v>
      </c>
      <c r="N49" s="13"/>
      <c r="O49" s="14"/>
      <c r="P49" s="14"/>
      <c r="Q49" s="14"/>
      <c r="R49" s="14"/>
      <c r="S49" s="14"/>
      <c r="T49" s="14"/>
      <c r="U49" s="16"/>
      <c r="V49" s="14"/>
      <c r="W49"/>
      <c r="X49"/>
      <c r="Y49" s="5"/>
      <c r="Z49"/>
      <c r="AA49"/>
      <c r="AB49"/>
      <c r="AC49"/>
      <c r="AD49"/>
      <c r="AE49"/>
      <c r="AF49" s="5"/>
      <c r="AG49" s="69"/>
    </row>
    <row r="50" spans="1:33" ht="24.75" x14ac:dyDescent="0.4">
      <c r="A50" s="70"/>
      <c r="B50" s="77">
        <f t="shared" si="1"/>
        <v>48</v>
      </c>
      <c r="C50" s="71"/>
      <c r="D50" s="72"/>
      <c r="E50" s="72"/>
      <c r="F50" s="14"/>
      <c r="G50" s="14"/>
      <c r="H50" s="14"/>
      <c r="I50" s="14"/>
      <c r="J50" s="14"/>
      <c r="K50" s="14"/>
      <c r="M50" s="12">
        <f t="shared" si="0"/>
        <v>48</v>
      </c>
      <c r="N50" s="13"/>
      <c r="O50" s="14"/>
      <c r="P50" s="14"/>
      <c r="Q50" s="14"/>
      <c r="R50" s="14"/>
      <c r="S50" s="14"/>
      <c r="T50" s="14"/>
      <c r="U50" s="16"/>
      <c r="V50" s="14"/>
      <c r="AG50" s="68"/>
    </row>
    <row r="51" spans="1:33" s="9" customFormat="1" ht="24.75" x14ac:dyDescent="0.4">
      <c r="A51" s="70"/>
      <c r="B51" s="77">
        <f t="shared" si="1"/>
        <v>49</v>
      </c>
      <c r="C51" s="71"/>
      <c r="D51" s="72"/>
      <c r="E51" s="72"/>
      <c r="F51" s="15"/>
      <c r="G51" s="15"/>
      <c r="H51" s="14"/>
      <c r="I51" s="14"/>
      <c r="J51" s="15"/>
      <c r="K51" s="15"/>
      <c r="L51" s="5"/>
      <c r="M51" s="12">
        <f t="shared" si="0"/>
        <v>49</v>
      </c>
      <c r="N51" s="13"/>
      <c r="O51" s="14"/>
      <c r="P51" s="14"/>
      <c r="Q51" s="14"/>
      <c r="R51" s="14"/>
      <c r="S51" s="14"/>
      <c r="T51" s="14"/>
      <c r="U51" s="16"/>
      <c r="V51" s="14"/>
      <c r="W51"/>
      <c r="X51"/>
      <c r="Y51" s="5"/>
      <c r="Z51"/>
      <c r="AA51"/>
      <c r="AB51"/>
      <c r="AC51"/>
      <c r="AD51"/>
      <c r="AE51"/>
      <c r="AF51" s="5"/>
      <c r="AG51" s="69"/>
    </row>
    <row r="52" spans="1:33" s="9" customFormat="1" ht="24.75" hidden="1" outlineLevel="1" x14ac:dyDescent="0.4">
      <c r="A52" s="70"/>
      <c r="B52" s="77">
        <f t="shared" si="1"/>
        <v>50</v>
      </c>
      <c r="C52" s="71"/>
      <c r="D52" s="72"/>
      <c r="E52" s="72"/>
      <c r="F52" s="14"/>
      <c r="G52" s="14"/>
      <c r="H52" s="14"/>
      <c r="I52" s="14"/>
      <c r="J52" s="16"/>
      <c r="K52" s="14"/>
      <c r="L52" s="5"/>
      <c r="M52" s="12">
        <f t="shared" si="0"/>
        <v>50</v>
      </c>
      <c r="N52" s="13"/>
      <c r="O52" s="14"/>
      <c r="P52" s="14"/>
      <c r="Q52" s="14"/>
      <c r="R52" s="14"/>
      <c r="S52" s="14"/>
      <c r="T52" s="14"/>
      <c r="U52" s="16"/>
      <c r="V52" s="14"/>
      <c r="W52"/>
      <c r="X52"/>
      <c r="Y52" s="5"/>
      <c r="Z52"/>
      <c r="AA52"/>
      <c r="AB52"/>
      <c r="AC52"/>
      <c r="AD52"/>
      <c r="AE52"/>
      <c r="AF52" s="5"/>
      <c r="AG52" s="69"/>
    </row>
    <row r="53" spans="1:33" s="9" customFormat="1" ht="24.75" hidden="1" outlineLevel="1" x14ac:dyDescent="0.4">
      <c r="A53" s="70"/>
      <c r="B53" s="77">
        <f t="shared" si="1"/>
        <v>51</v>
      </c>
      <c r="C53" s="71"/>
      <c r="D53" s="72"/>
      <c r="E53" s="72"/>
      <c r="F53" s="15"/>
      <c r="G53" s="15"/>
      <c r="H53" s="14"/>
      <c r="I53" s="14"/>
      <c r="J53" s="15"/>
      <c r="K53" s="15"/>
      <c r="L53" s="5"/>
      <c r="M53" s="12">
        <f t="shared" si="0"/>
        <v>51</v>
      </c>
      <c r="N53" s="13"/>
      <c r="O53" s="14"/>
      <c r="P53" s="14"/>
      <c r="Q53" s="14"/>
      <c r="R53" s="14"/>
      <c r="S53" s="14"/>
      <c r="T53" s="14"/>
      <c r="U53" s="16"/>
      <c r="V53" s="14"/>
      <c r="W53"/>
      <c r="X53"/>
      <c r="Y53" s="5"/>
      <c r="Z53"/>
      <c r="AA53"/>
      <c r="AB53"/>
      <c r="AC53"/>
      <c r="AD53"/>
      <c r="AE53"/>
      <c r="AF53" s="5"/>
      <c r="AG53" s="69"/>
    </row>
    <row r="54" spans="1:33" ht="24.75" hidden="1" outlineLevel="1" x14ac:dyDescent="0.4">
      <c r="A54" s="70"/>
      <c r="B54" s="77">
        <f t="shared" si="1"/>
        <v>52</v>
      </c>
      <c r="C54" s="71"/>
      <c r="D54" s="72"/>
      <c r="E54" s="72"/>
      <c r="F54" s="73"/>
      <c r="G54" s="74"/>
      <c r="H54" s="75"/>
      <c r="I54" s="76"/>
      <c r="J54" s="16"/>
      <c r="K54" s="75"/>
      <c r="M54" s="12">
        <f t="shared" si="0"/>
        <v>52</v>
      </c>
      <c r="N54" s="13"/>
      <c r="O54" s="14"/>
      <c r="P54" s="14"/>
      <c r="Q54" s="14"/>
      <c r="R54" s="14"/>
      <c r="S54" s="14"/>
      <c r="T54" s="14"/>
      <c r="U54" s="16"/>
      <c r="V54" s="14"/>
      <c r="AG54" s="68"/>
    </row>
    <row r="55" spans="1:33" ht="24.75" hidden="1" outlineLevel="1" x14ac:dyDescent="0.4">
      <c r="A55" s="70"/>
      <c r="B55" s="77">
        <f t="shared" si="1"/>
        <v>53</v>
      </c>
      <c r="C55" s="71"/>
      <c r="D55" s="72"/>
      <c r="E55" s="72"/>
      <c r="F55" s="15"/>
      <c r="G55" s="15"/>
      <c r="H55" s="14"/>
      <c r="I55" s="14"/>
      <c r="J55" s="15"/>
      <c r="K55" s="15"/>
      <c r="M55" s="12">
        <f t="shared" si="0"/>
        <v>53</v>
      </c>
      <c r="N55" s="13"/>
      <c r="O55" s="14"/>
      <c r="P55" s="14"/>
      <c r="Q55" s="14"/>
      <c r="R55" s="14"/>
      <c r="S55" s="14"/>
      <c r="T55" s="14"/>
      <c r="U55" s="16"/>
      <c r="V55" s="14"/>
      <c r="AG55" s="68"/>
    </row>
    <row r="56" spans="1:33" ht="24.75" hidden="1" outlineLevel="1" x14ac:dyDescent="0.4">
      <c r="A56" s="70"/>
      <c r="B56" s="77">
        <f t="shared" si="1"/>
        <v>54</v>
      </c>
      <c r="C56" s="71"/>
      <c r="D56" s="72"/>
      <c r="E56" s="72"/>
      <c r="F56" s="14"/>
      <c r="G56" s="14"/>
      <c r="H56" s="14"/>
      <c r="I56" s="14"/>
      <c r="J56" s="14"/>
      <c r="K56" s="14"/>
      <c r="M56" s="12">
        <f t="shared" si="0"/>
        <v>54</v>
      </c>
      <c r="N56" s="13"/>
      <c r="O56" s="14"/>
      <c r="P56" s="14"/>
      <c r="Q56" s="14"/>
      <c r="R56" s="14"/>
      <c r="S56" s="14"/>
      <c r="T56" s="14"/>
      <c r="U56" s="16"/>
      <c r="V56" s="14"/>
      <c r="AG56" s="68"/>
    </row>
    <row r="57" spans="1:33" ht="24.75" hidden="1" outlineLevel="1" x14ac:dyDescent="0.4">
      <c r="A57" s="70"/>
      <c r="B57" s="77">
        <f t="shared" si="1"/>
        <v>55</v>
      </c>
      <c r="C57" s="71"/>
      <c r="D57" s="72"/>
      <c r="E57" s="72"/>
      <c r="F57" s="15"/>
      <c r="G57" s="15"/>
      <c r="H57" s="14"/>
      <c r="I57" s="14"/>
      <c r="J57" s="15"/>
      <c r="K57" s="15"/>
      <c r="M57" s="12">
        <f t="shared" si="0"/>
        <v>55</v>
      </c>
      <c r="N57" s="13"/>
      <c r="O57" s="14"/>
      <c r="P57" s="14"/>
      <c r="Q57" s="14"/>
      <c r="R57" s="14"/>
      <c r="S57" s="14"/>
      <c r="T57" s="14"/>
      <c r="U57" s="16"/>
      <c r="V57" s="14"/>
      <c r="AG57" s="68"/>
    </row>
    <row r="58" spans="1:33" ht="24.75" hidden="1" outlineLevel="1" x14ac:dyDescent="0.4">
      <c r="A58" s="70"/>
      <c r="B58" s="77">
        <f t="shared" si="1"/>
        <v>56</v>
      </c>
      <c r="C58" s="71"/>
      <c r="D58" s="72"/>
      <c r="E58" s="72"/>
      <c r="F58" s="14"/>
      <c r="G58" s="14"/>
      <c r="H58" s="14"/>
      <c r="I58" s="14"/>
      <c r="J58" s="14"/>
      <c r="K58" s="14"/>
      <c r="M58" s="12">
        <f t="shared" si="0"/>
        <v>56</v>
      </c>
      <c r="N58" s="13"/>
      <c r="O58" s="14"/>
      <c r="P58" s="14"/>
      <c r="Q58" s="14"/>
      <c r="R58" s="14"/>
      <c r="S58" s="14"/>
      <c r="T58" s="14"/>
      <c r="U58" s="16"/>
      <c r="V58" s="14"/>
      <c r="AG58" s="68"/>
    </row>
    <row r="59" spans="1:33" ht="24.75" hidden="1" outlineLevel="1" x14ac:dyDescent="0.4">
      <c r="A59" s="70"/>
      <c r="B59" s="77">
        <f t="shared" si="1"/>
        <v>57</v>
      </c>
      <c r="C59" s="71"/>
      <c r="D59" s="72"/>
      <c r="E59" s="72"/>
      <c r="F59" s="15"/>
      <c r="G59" s="15"/>
      <c r="H59" s="14"/>
      <c r="I59" s="14"/>
      <c r="J59" s="15"/>
      <c r="K59" s="15"/>
      <c r="M59" s="12">
        <f t="shared" si="0"/>
        <v>57</v>
      </c>
      <c r="N59" s="13"/>
      <c r="O59" s="14"/>
      <c r="P59" s="14"/>
      <c r="Q59" s="14"/>
      <c r="R59" s="14"/>
      <c r="S59" s="14"/>
      <c r="T59" s="14"/>
      <c r="U59" s="16"/>
      <c r="V59" s="14"/>
      <c r="AG59" s="68"/>
    </row>
    <row r="60" spans="1:33" ht="24.75" hidden="1" outlineLevel="1" x14ac:dyDescent="0.4">
      <c r="A60" s="70"/>
      <c r="B60" s="77">
        <f t="shared" si="1"/>
        <v>58</v>
      </c>
      <c r="C60" s="71"/>
      <c r="D60" s="72"/>
      <c r="E60" s="72"/>
      <c r="F60" s="14"/>
      <c r="G60" s="14"/>
      <c r="H60" s="14"/>
      <c r="I60" s="14"/>
      <c r="J60" s="14"/>
      <c r="K60" s="14"/>
      <c r="M60" s="12">
        <f t="shared" si="0"/>
        <v>58</v>
      </c>
      <c r="N60" s="13"/>
      <c r="O60" s="14"/>
      <c r="P60" s="14"/>
      <c r="Q60" s="14"/>
      <c r="R60" s="14"/>
      <c r="S60" s="14"/>
      <c r="T60" s="14"/>
      <c r="U60" s="16"/>
      <c r="V60" s="14"/>
      <c r="AG60" s="68"/>
    </row>
    <row r="61" spans="1:33" ht="24.75" hidden="1" outlineLevel="1" x14ac:dyDescent="0.4">
      <c r="A61" s="70"/>
      <c r="B61" s="77">
        <f t="shared" si="1"/>
        <v>59</v>
      </c>
      <c r="C61" s="71"/>
      <c r="D61" s="72"/>
      <c r="E61" s="72"/>
      <c r="F61" s="15"/>
      <c r="G61" s="15"/>
      <c r="H61" s="14"/>
      <c r="I61" s="14"/>
      <c r="J61" s="15"/>
      <c r="K61" s="15"/>
      <c r="M61" s="12">
        <f t="shared" si="0"/>
        <v>59</v>
      </c>
      <c r="N61" s="13"/>
      <c r="O61" s="14"/>
      <c r="P61" s="14"/>
      <c r="Q61" s="14"/>
      <c r="R61" s="14"/>
      <c r="S61" s="14"/>
      <c r="T61" s="14"/>
      <c r="U61" s="16"/>
      <c r="V61" s="14"/>
      <c r="AG61" s="68"/>
    </row>
    <row r="62" spans="1:33" ht="24.75" hidden="1" outlineLevel="1" x14ac:dyDescent="0.4">
      <c r="A62" s="70"/>
      <c r="B62" s="77">
        <f t="shared" si="1"/>
        <v>60</v>
      </c>
      <c r="C62" s="71"/>
      <c r="D62" s="72"/>
      <c r="E62" s="72"/>
      <c r="F62" s="14"/>
      <c r="G62" s="14"/>
      <c r="H62" s="14"/>
      <c r="I62" s="14"/>
      <c r="J62" s="16"/>
      <c r="K62" s="14"/>
      <c r="M62" s="12">
        <f t="shared" si="0"/>
        <v>60</v>
      </c>
      <c r="N62" s="13"/>
      <c r="O62" s="14"/>
      <c r="P62" s="14"/>
      <c r="Q62" s="14"/>
      <c r="R62" s="14"/>
      <c r="S62" s="14"/>
      <c r="T62" s="14"/>
      <c r="U62" s="16"/>
      <c r="V62" s="14"/>
      <c r="AG62" s="68"/>
    </row>
    <row r="63" spans="1:33" ht="24.75" hidden="1" outlineLevel="1" x14ac:dyDescent="0.4">
      <c r="A63" s="70"/>
      <c r="B63" s="77">
        <f t="shared" si="1"/>
        <v>61</v>
      </c>
      <c r="C63" s="71"/>
      <c r="D63" s="72"/>
      <c r="E63" s="72"/>
      <c r="F63" s="15"/>
      <c r="G63" s="15"/>
      <c r="H63" s="14"/>
      <c r="I63" s="14"/>
      <c r="J63" s="15"/>
      <c r="K63" s="15"/>
      <c r="M63" s="12">
        <f t="shared" si="0"/>
        <v>61</v>
      </c>
      <c r="N63" s="13"/>
      <c r="O63" s="14"/>
      <c r="P63" s="14"/>
      <c r="Q63" s="14"/>
      <c r="R63" s="14"/>
      <c r="S63" s="14"/>
      <c r="T63" s="14"/>
      <c r="U63" s="16"/>
      <c r="V63" s="14"/>
      <c r="AG63" s="68"/>
    </row>
    <row r="64" spans="1:33" ht="24.75" hidden="1" outlineLevel="1" x14ac:dyDescent="0.4">
      <c r="A64" s="70"/>
      <c r="B64" s="77">
        <f t="shared" si="1"/>
        <v>62</v>
      </c>
      <c r="C64" s="71"/>
      <c r="D64" s="72"/>
      <c r="E64" s="72"/>
      <c r="F64" s="73"/>
      <c r="G64" s="74"/>
      <c r="H64" s="75"/>
      <c r="I64" s="76"/>
      <c r="J64" s="16"/>
      <c r="K64" s="75"/>
      <c r="M64" s="12">
        <f t="shared" si="0"/>
        <v>62</v>
      </c>
      <c r="N64" s="13"/>
      <c r="O64" s="14"/>
      <c r="P64" s="14"/>
      <c r="Q64" s="14"/>
      <c r="R64" s="14"/>
      <c r="S64" s="14"/>
      <c r="T64" s="14"/>
      <c r="U64" s="16"/>
      <c r="V64" s="14"/>
      <c r="AG64" s="68"/>
    </row>
    <row r="65" spans="1:33" ht="24.75" hidden="1" outlineLevel="1" x14ac:dyDescent="0.4">
      <c r="A65" s="70"/>
      <c r="B65" s="77">
        <f t="shared" si="1"/>
        <v>63</v>
      </c>
      <c r="C65" s="71"/>
      <c r="D65" s="72"/>
      <c r="E65" s="72"/>
      <c r="F65" s="15"/>
      <c r="G65" s="15"/>
      <c r="H65" s="14"/>
      <c r="I65" s="14"/>
      <c r="J65" s="15"/>
      <c r="K65" s="15"/>
      <c r="M65" s="12">
        <f t="shared" si="0"/>
        <v>63</v>
      </c>
      <c r="N65" s="13"/>
      <c r="O65" s="14"/>
      <c r="P65" s="14"/>
      <c r="Q65" s="14"/>
      <c r="R65" s="14"/>
      <c r="S65" s="14"/>
      <c r="T65" s="14"/>
      <c r="U65" s="16"/>
      <c r="V65" s="14"/>
      <c r="AG65" s="68"/>
    </row>
    <row r="66" spans="1:33" ht="24.75" hidden="1" outlineLevel="1" x14ac:dyDescent="0.4">
      <c r="A66" s="70"/>
      <c r="B66" s="77">
        <f t="shared" si="1"/>
        <v>64</v>
      </c>
      <c r="C66" s="71"/>
      <c r="D66" s="72"/>
      <c r="E66" s="72"/>
      <c r="F66" s="14"/>
      <c r="G66" s="14"/>
      <c r="H66" s="14"/>
      <c r="I66" s="14"/>
      <c r="J66" s="14"/>
      <c r="K66" s="14"/>
      <c r="M66" s="12">
        <f t="shared" si="0"/>
        <v>64</v>
      </c>
      <c r="N66" s="13"/>
      <c r="O66" s="14"/>
      <c r="P66" s="14"/>
      <c r="Q66" s="14"/>
      <c r="R66" s="14"/>
      <c r="S66" s="14"/>
      <c r="T66" s="14"/>
      <c r="U66" s="16"/>
      <c r="V66" s="14"/>
      <c r="AG66" s="68"/>
    </row>
    <row r="67" spans="1:33" ht="24.75" hidden="1" outlineLevel="1" x14ac:dyDescent="0.4">
      <c r="A67" s="70"/>
      <c r="B67" s="77">
        <f t="shared" si="1"/>
        <v>65</v>
      </c>
      <c r="C67" s="71"/>
      <c r="D67" s="72"/>
      <c r="E67" s="72"/>
      <c r="F67" s="15"/>
      <c r="G67" s="15"/>
      <c r="H67" s="14"/>
      <c r="I67" s="14"/>
      <c r="J67" s="15"/>
      <c r="K67" s="15"/>
      <c r="M67" s="12">
        <f t="shared" si="0"/>
        <v>65</v>
      </c>
      <c r="N67" s="13"/>
      <c r="O67" s="14"/>
      <c r="P67" s="14"/>
      <c r="Q67" s="14"/>
      <c r="R67" s="14"/>
      <c r="S67" s="14"/>
      <c r="T67" s="14"/>
      <c r="U67" s="16"/>
      <c r="V67" s="14"/>
      <c r="AG67" s="68"/>
    </row>
    <row r="68" spans="1:33" ht="24.75" hidden="1" outlineLevel="1" x14ac:dyDescent="0.4">
      <c r="A68" s="70"/>
      <c r="B68" s="77">
        <f t="shared" si="1"/>
        <v>66</v>
      </c>
      <c r="C68" s="71"/>
      <c r="D68" s="72"/>
      <c r="E68" s="72"/>
      <c r="F68" s="14"/>
      <c r="G68" s="14"/>
      <c r="H68" s="14"/>
      <c r="I68" s="14"/>
      <c r="J68" s="16"/>
      <c r="K68" s="14"/>
      <c r="M68" s="12">
        <f t="shared" si="0"/>
        <v>66</v>
      </c>
      <c r="N68" s="13"/>
      <c r="O68" s="14"/>
      <c r="P68" s="14"/>
      <c r="Q68" s="14"/>
      <c r="R68" s="14"/>
      <c r="S68" s="14"/>
      <c r="T68" s="14"/>
      <c r="U68" s="16"/>
      <c r="V68" s="14"/>
      <c r="AG68" s="68"/>
    </row>
    <row r="69" spans="1:33" ht="24.75" hidden="1" outlineLevel="1" x14ac:dyDescent="0.4">
      <c r="A69" s="70"/>
      <c r="B69" s="77">
        <f t="shared" si="1"/>
        <v>67</v>
      </c>
      <c r="C69" s="71"/>
      <c r="D69" s="72"/>
      <c r="E69" s="72"/>
      <c r="F69" s="15"/>
      <c r="G69" s="15"/>
      <c r="H69" s="14"/>
      <c r="I69" s="14"/>
      <c r="J69" s="15"/>
      <c r="K69" s="15"/>
      <c r="M69" s="12">
        <f t="shared" si="0"/>
        <v>67</v>
      </c>
      <c r="N69" s="13"/>
      <c r="O69" s="14"/>
      <c r="P69" s="14"/>
      <c r="Q69" s="14"/>
      <c r="R69" s="14"/>
      <c r="S69" s="14"/>
      <c r="T69" s="14"/>
      <c r="U69" s="16"/>
      <c r="V69" s="14"/>
      <c r="AG69" s="68"/>
    </row>
    <row r="70" spans="1:33" ht="24.75" hidden="1" outlineLevel="1" x14ac:dyDescent="0.4">
      <c r="A70" s="70"/>
      <c r="B70" s="77">
        <f t="shared" si="1"/>
        <v>68</v>
      </c>
      <c r="C70" s="71"/>
      <c r="D70" s="72"/>
      <c r="E70" s="72"/>
      <c r="F70" s="73"/>
      <c r="G70" s="74"/>
      <c r="H70" s="75"/>
      <c r="I70" s="76"/>
      <c r="J70" s="16"/>
      <c r="K70" s="75"/>
      <c r="M70" s="12">
        <f t="shared" si="0"/>
        <v>68</v>
      </c>
      <c r="N70" s="13"/>
      <c r="O70" s="14"/>
      <c r="P70" s="14"/>
      <c r="Q70" s="14"/>
      <c r="R70" s="14"/>
      <c r="S70" s="14"/>
      <c r="T70" s="14"/>
      <c r="U70" s="16"/>
      <c r="V70" s="14"/>
      <c r="AG70" s="68"/>
    </row>
    <row r="71" spans="1:33" ht="24.75" hidden="1" outlineLevel="1" x14ac:dyDescent="0.4">
      <c r="A71" s="70"/>
      <c r="B71" s="77">
        <f t="shared" si="1"/>
        <v>69</v>
      </c>
      <c r="C71" s="71"/>
      <c r="D71" s="72"/>
      <c r="E71" s="72"/>
      <c r="F71" s="15"/>
      <c r="G71" s="15"/>
      <c r="H71" s="14"/>
      <c r="I71" s="14"/>
      <c r="J71" s="15"/>
      <c r="K71" s="15"/>
      <c r="M71" s="12">
        <f t="shared" si="0"/>
        <v>69</v>
      </c>
      <c r="N71" s="13"/>
      <c r="O71" s="14"/>
      <c r="P71" s="14"/>
      <c r="Q71" s="14"/>
      <c r="R71" s="14"/>
      <c r="S71" s="14"/>
      <c r="T71" s="14"/>
      <c r="U71" s="16"/>
      <c r="V71" s="14"/>
      <c r="AG71" s="68"/>
    </row>
    <row r="72" spans="1:33" ht="24.75" hidden="1" outlineLevel="1" x14ac:dyDescent="0.4">
      <c r="A72" s="70"/>
      <c r="B72" s="77">
        <f t="shared" si="1"/>
        <v>70</v>
      </c>
      <c r="C72" s="71"/>
      <c r="D72" s="72"/>
      <c r="E72" s="72"/>
      <c r="F72" s="14"/>
      <c r="G72" s="14"/>
      <c r="H72" s="14"/>
      <c r="I72" s="14"/>
      <c r="J72" s="14"/>
      <c r="K72" s="14"/>
      <c r="M72" s="12">
        <f t="shared" si="0"/>
        <v>70</v>
      </c>
      <c r="N72" s="13"/>
      <c r="O72" s="14"/>
      <c r="P72" s="14"/>
      <c r="Q72" s="14"/>
      <c r="R72" s="14"/>
      <c r="S72" s="14"/>
      <c r="T72" s="14"/>
      <c r="U72" s="16"/>
      <c r="V72" s="14"/>
      <c r="AG72" s="68"/>
    </row>
    <row r="73" spans="1:33" ht="24.75" hidden="1" outlineLevel="1" x14ac:dyDescent="0.4">
      <c r="A73" s="70"/>
      <c r="B73" s="77">
        <f t="shared" si="1"/>
        <v>71</v>
      </c>
      <c r="C73" s="71"/>
      <c r="D73" s="72"/>
      <c r="E73" s="72"/>
      <c r="F73" s="15"/>
      <c r="G73" s="15"/>
      <c r="H73" s="14"/>
      <c r="I73" s="14"/>
      <c r="J73" s="15"/>
      <c r="K73" s="15"/>
      <c r="M73" s="12">
        <f t="shared" si="0"/>
        <v>71</v>
      </c>
      <c r="N73" s="13"/>
      <c r="O73" s="14"/>
      <c r="P73" s="14"/>
      <c r="Q73" s="14"/>
      <c r="R73" s="14"/>
      <c r="S73" s="14"/>
      <c r="T73" s="14"/>
      <c r="U73" s="16"/>
      <c r="V73" s="14"/>
      <c r="AG73" s="68"/>
    </row>
    <row r="74" spans="1:33" ht="24.75" hidden="1" outlineLevel="1" x14ac:dyDescent="0.4">
      <c r="A74" s="70"/>
      <c r="B74" s="77">
        <f t="shared" si="1"/>
        <v>72</v>
      </c>
      <c r="C74" s="71"/>
      <c r="D74" s="72"/>
      <c r="E74" s="72"/>
      <c r="F74" s="14"/>
      <c r="G74" s="14"/>
      <c r="H74" s="14"/>
      <c r="I74" s="14"/>
      <c r="J74" s="14"/>
      <c r="K74" s="14"/>
      <c r="M74" s="12">
        <f t="shared" si="0"/>
        <v>72</v>
      </c>
      <c r="N74" s="13"/>
      <c r="O74" s="14"/>
      <c r="P74" s="14"/>
      <c r="Q74" s="14"/>
      <c r="R74" s="14"/>
      <c r="S74" s="14"/>
      <c r="T74" s="14"/>
      <c r="U74" s="16"/>
      <c r="V74" s="14"/>
      <c r="AG74" s="68"/>
    </row>
    <row r="75" spans="1:33" ht="24.75" hidden="1" outlineLevel="1" x14ac:dyDescent="0.4">
      <c r="A75" s="70"/>
      <c r="B75" s="77">
        <f t="shared" si="1"/>
        <v>73</v>
      </c>
      <c r="C75" s="71"/>
      <c r="D75" s="72"/>
      <c r="E75" s="72"/>
      <c r="F75" s="15"/>
      <c r="G75" s="15"/>
      <c r="H75" s="14"/>
      <c r="I75" s="14"/>
      <c r="J75" s="15"/>
      <c r="K75" s="15"/>
      <c r="M75" s="12">
        <f t="shared" si="0"/>
        <v>73</v>
      </c>
      <c r="N75" s="13"/>
      <c r="O75" s="14"/>
      <c r="P75" s="14"/>
      <c r="Q75" s="14"/>
      <c r="R75" s="14"/>
      <c r="S75" s="14"/>
      <c r="T75" s="14"/>
      <c r="U75" s="16"/>
      <c r="V75" s="14"/>
      <c r="AG75" s="68"/>
    </row>
    <row r="76" spans="1:33" ht="24.75" hidden="1" outlineLevel="1" x14ac:dyDescent="0.4">
      <c r="A76" s="70"/>
      <c r="B76" s="77">
        <f t="shared" si="1"/>
        <v>74</v>
      </c>
      <c r="C76" s="71"/>
      <c r="D76" s="72"/>
      <c r="E76" s="72"/>
      <c r="F76" s="14"/>
      <c r="G76" s="14"/>
      <c r="H76" s="14"/>
      <c r="I76" s="14"/>
      <c r="J76" s="14"/>
      <c r="K76" s="14"/>
      <c r="M76" s="12">
        <f t="shared" si="0"/>
        <v>74</v>
      </c>
      <c r="N76" s="13"/>
      <c r="O76" s="14"/>
      <c r="P76" s="14"/>
      <c r="Q76" s="14"/>
      <c r="R76" s="14"/>
      <c r="S76" s="14"/>
      <c r="T76" s="14"/>
      <c r="U76" s="16"/>
      <c r="V76" s="14"/>
      <c r="AG76" s="68"/>
    </row>
    <row r="77" spans="1:33" ht="24.75" hidden="1" outlineLevel="1" x14ac:dyDescent="0.4">
      <c r="A77" s="70"/>
      <c r="B77" s="77">
        <f t="shared" si="1"/>
        <v>75</v>
      </c>
      <c r="C77" s="71"/>
      <c r="D77" s="72"/>
      <c r="E77" s="72"/>
      <c r="F77" s="15"/>
      <c r="G77" s="15"/>
      <c r="H77" s="14"/>
      <c r="I77" s="14"/>
      <c r="J77" s="15"/>
      <c r="K77" s="15"/>
      <c r="M77" s="12">
        <f t="shared" si="0"/>
        <v>75</v>
      </c>
      <c r="N77" s="13"/>
      <c r="O77" s="14"/>
      <c r="P77" s="14"/>
      <c r="Q77" s="14"/>
      <c r="R77" s="14"/>
      <c r="S77" s="14"/>
      <c r="T77" s="14"/>
      <c r="U77" s="16"/>
      <c r="V77" s="14"/>
      <c r="AG77" s="68"/>
    </row>
    <row r="78" spans="1:33" ht="24.75" hidden="1" outlineLevel="1" x14ac:dyDescent="0.4">
      <c r="A78" s="70"/>
      <c r="B78" s="77">
        <f t="shared" si="1"/>
        <v>76</v>
      </c>
      <c r="C78" s="71"/>
      <c r="D78" s="72"/>
      <c r="E78" s="72"/>
      <c r="F78" s="14"/>
      <c r="G78" s="14"/>
      <c r="H78" s="14"/>
      <c r="I78" s="14"/>
      <c r="J78" s="16"/>
      <c r="K78" s="14"/>
      <c r="M78" s="12">
        <f t="shared" si="0"/>
        <v>76</v>
      </c>
      <c r="N78" s="13"/>
      <c r="O78" s="14"/>
      <c r="P78" s="14"/>
      <c r="Q78" s="14"/>
      <c r="R78" s="14"/>
      <c r="S78" s="14"/>
      <c r="T78" s="14"/>
      <c r="U78" s="16"/>
      <c r="V78" s="14"/>
      <c r="AG78" s="68"/>
    </row>
    <row r="79" spans="1:33" ht="24.75" hidden="1" outlineLevel="1" x14ac:dyDescent="0.4">
      <c r="A79" s="70"/>
      <c r="B79" s="77">
        <f t="shared" si="1"/>
        <v>77</v>
      </c>
      <c r="C79" s="71"/>
      <c r="D79" s="72"/>
      <c r="E79" s="72"/>
      <c r="F79" s="15"/>
      <c r="G79" s="15"/>
      <c r="H79" s="14"/>
      <c r="I79" s="14"/>
      <c r="J79" s="15"/>
      <c r="K79" s="15"/>
      <c r="M79" s="12">
        <f t="shared" si="0"/>
        <v>77</v>
      </c>
      <c r="N79" s="13"/>
      <c r="O79" s="14"/>
      <c r="P79" s="14"/>
      <c r="Q79" s="14"/>
      <c r="R79" s="14"/>
      <c r="S79" s="14"/>
      <c r="T79" s="14"/>
      <c r="U79" s="16"/>
      <c r="V79" s="14"/>
      <c r="AG79" s="68"/>
    </row>
    <row r="80" spans="1:33" ht="24.75" hidden="1" outlineLevel="1" x14ac:dyDescent="0.4">
      <c r="A80" s="70"/>
      <c r="B80" s="77">
        <f t="shared" si="1"/>
        <v>78</v>
      </c>
      <c r="C80" s="71"/>
      <c r="D80" s="72"/>
      <c r="E80" s="72"/>
      <c r="F80" s="73"/>
      <c r="G80" s="74"/>
      <c r="H80" s="75"/>
      <c r="I80" s="76"/>
      <c r="J80" s="16"/>
      <c r="K80" s="75"/>
      <c r="M80" s="12">
        <f t="shared" si="0"/>
        <v>78</v>
      </c>
      <c r="N80" s="13"/>
      <c r="O80" s="14"/>
      <c r="P80" s="14"/>
      <c r="Q80" s="14"/>
      <c r="R80" s="14"/>
      <c r="S80" s="14"/>
      <c r="T80" s="14"/>
      <c r="U80" s="16"/>
      <c r="V80" s="14"/>
      <c r="AG80" s="68"/>
    </row>
    <row r="81" spans="1:33" ht="24.75" hidden="1" outlineLevel="1" x14ac:dyDescent="0.4">
      <c r="A81" s="70"/>
      <c r="B81" s="77">
        <f t="shared" si="1"/>
        <v>79</v>
      </c>
      <c r="C81" s="71"/>
      <c r="D81" s="72"/>
      <c r="E81" s="72"/>
      <c r="F81" s="15"/>
      <c r="G81" s="15"/>
      <c r="H81" s="14"/>
      <c r="I81" s="14"/>
      <c r="J81" s="15"/>
      <c r="K81" s="15"/>
      <c r="M81" s="12">
        <f t="shared" si="0"/>
        <v>79</v>
      </c>
      <c r="N81" s="13"/>
      <c r="O81" s="14"/>
      <c r="P81" s="14"/>
      <c r="Q81" s="14"/>
      <c r="R81" s="14"/>
      <c r="S81" s="14"/>
      <c r="T81" s="14"/>
      <c r="U81" s="16"/>
      <c r="V81" s="14"/>
      <c r="AG81" s="68"/>
    </row>
    <row r="82" spans="1:33" ht="24.75" hidden="1" outlineLevel="1" x14ac:dyDescent="0.4">
      <c r="A82" s="70"/>
      <c r="B82" s="77">
        <f t="shared" si="1"/>
        <v>80</v>
      </c>
      <c r="C82" s="71"/>
      <c r="D82" s="72"/>
      <c r="E82" s="72"/>
      <c r="F82" s="14"/>
      <c r="G82" s="14"/>
      <c r="H82" s="14"/>
      <c r="I82" s="14"/>
      <c r="J82" s="14"/>
      <c r="K82" s="14"/>
      <c r="M82" s="12">
        <f t="shared" si="0"/>
        <v>80</v>
      </c>
      <c r="N82" s="13"/>
      <c r="O82" s="14"/>
      <c r="P82" s="14"/>
      <c r="Q82" s="14"/>
      <c r="R82" s="14"/>
      <c r="S82" s="14"/>
      <c r="T82" s="14"/>
      <c r="U82" s="16"/>
      <c r="V82" s="14"/>
      <c r="AG82" s="68"/>
    </row>
    <row r="83" spans="1:33" ht="24.75" hidden="1" outlineLevel="1" x14ac:dyDescent="0.4">
      <c r="A83" s="70"/>
      <c r="B83" s="77">
        <f t="shared" si="1"/>
        <v>81</v>
      </c>
      <c r="C83" s="71"/>
      <c r="D83" s="72"/>
      <c r="E83" s="72"/>
      <c r="F83" s="15"/>
      <c r="G83" s="15"/>
      <c r="H83" s="14"/>
      <c r="I83" s="14"/>
      <c r="J83" s="15"/>
      <c r="K83" s="15"/>
      <c r="M83" s="12">
        <f t="shared" si="0"/>
        <v>81</v>
      </c>
      <c r="N83" s="13"/>
      <c r="O83" s="14"/>
      <c r="P83" s="14"/>
      <c r="Q83" s="14"/>
      <c r="R83" s="14"/>
      <c r="S83" s="14"/>
      <c r="T83" s="14"/>
      <c r="U83" s="16"/>
      <c r="V83" s="14"/>
      <c r="AG83" s="68"/>
    </row>
    <row r="84" spans="1:33" ht="24.75" hidden="1" outlineLevel="1" x14ac:dyDescent="0.4">
      <c r="A84" s="70"/>
      <c r="B84" s="77">
        <f t="shared" si="1"/>
        <v>82</v>
      </c>
      <c r="C84" s="71"/>
      <c r="D84" s="72"/>
      <c r="E84" s="72"/>
      <c r="F84" s="14"/>
      <c r="G84" s="14"/>
      <c r="H84" s="14"/>
      <c r="I84" s="14"/>
      <c r="J84" s="14"/>
      <c r="K84" s="14"/>
      <c r="M84" s="12">
        <f t="shared" si="0"/>
        <v>82</v>
      </c>
      <c r="N84" s="13"/>
      <c r="O84" s="14"/>
      <c r="P84" s="14"/>
      <c r="Q84" s="14"/>
      <c r="R84" s="14"/>
      <c r="S84" s="14"/>
      <c r="T84" s="14"/>
      <c r="U84" s="16"/>
      <c r="V84" s="14"/>
      <c r="AG84" s="68"/>
    </row>
    <row r="85" spans="1:33" ht="24.75" hidden="1" outlineLevel="1" x14ac:dyDescent="0.4">
      <c r="A85" s="70"/>
      <c r="B85" s="77">
        <f t="shared" si="1"/>
        <v>83</v>
      </c>
      <c r="C85" s="71"/>
      <c r="D85" s="72"/>
      <c r="E85" s="72"/>
      <c r="F85" s="15"/>
      <c r="G85" s="15"/>
      <c r="H85" s="14"/>
      <c r="I85" s="14"/>
      <c r="J85" s="15"/>
      <c r="K85" s="15"/>
      <c r="M85" s="12">
        <f t="shared" si="0"/>
        <v>83</v>
      </c>
      <c r="N85" s="13"/>
      <c r="O85" s="14"/>
      <c r="P85" s="14"/>
      <c r="Q85" s="14"/>
      <c r="R85" s="14"/>
      <c r="S85" s="14"/>
      <c r="T85" s="14"/>
      <c r="U85" s="16"/>
      <c r="V85" s="14"/>
      <c r="AG85" s="68"/>
    </row>
    <row r="86" spans="1:33" ht="24.75" hidden="1" outlineLevel="1" x14ac:dyDescent="0.4">
      <c r="A86" s="70"/>
      <c r="B86" s="77">
        <f t="shared" si="1"/>
        <v>84</v>
      </c>
      <c r="C86" s="71"/>
      <c r="D86" s="72"/>
      <c r="E86" s="72"/>
      <c r="F86" s="14"/>
      <c r="G86" s="14"/>
      <c r="H86" s="14"/>
      <c r="I86" s="14"/>
      <c r="J86" s="14"/>
      <c r="K86" s="14"/>
      <c r="M86" s="12">
        <f t="shared" si="0"/>
        <v>84</v>
      </c>
      <c r="N86" s="13"/>
      <c r="O86" s="14"/>
      <c r="P86" s="14"/>
      <c r="Q86" s="14"/>
      <c r="R86" s="14"/>
      <c r="S86" s="14"/>
      <c r="T86" s="14"/>
      <c r="U86" s="16"/>
      <c r="V86" s="14"/>
      <c r="AG86" s="68"/>
    </row>
    <row r="87" spans="1:33" ht="24.75" hidden="1" outlineLevel="1" x14ac:dyDescent="0.4">
      <c r="A87" s="70"/>
      <c r="B87" s="77">
        <f t="shared" si="1"/>
        <v>85</v>
      </c>
      <c r="C87" s="71"/>
      <c r="D87" s="72"/>
      <c r="E87" s="72"/>
      <c r="F87" s="15"/>
      <c r="G87" s="15"/>
      <c r="H87" s="14"/>
      <c r="I87" s="14"/>
      <c r="J87" s="15"/>
      <c r="K87" s="15"/>
      <c r="M87" s="12">
        <f t="shared" si="0"/>
        <v>85</v>
      </c>
      <c r="N87" s="13"/>
      <c r="O87" s="14"/>
      <c r="P87" s="14"/>
      <c r="Q87" s="14"/>
      <c r="R87" s="14"/>
      <c r="S87" s="14"/>
      <c r="T87" s="14"/>
      <c r="U87" s="16"/>
      <c r="V87" s="14"/>
      <c r="AG87" s="68"/>
    </row>
    <row r="88" spans="1:33" ht="24.75" hidden="1" outlineLevel="1" x14ac:dyDescent="0.4">
      <c r="A88" s="70"/>
      <c r="B88" s="77">
        <f t="shared" si="1"/>
        <v>86</v>
      </c>
      <c r="C88" s="71"/>
      <c r="D88" s="72"/>
      <c r="E88" s="72"/>
      <c r="F88" s="14"/>
      <c r="G88" s="14"/>
      <c r="H88" s="14"/>
      <c r="I88" s="14"/>
      <c r="J88" s="16"/>
      <c r="K88" s="14"/>
      <c r="M88" s="12">
        <f t="shared" si="0"/>
        <v>86</v>
      </c>
      <c r="N88" s="13"/>
      <c r="O88" s="14"/>
      <c r="P88" s="14"/>
      <c r="Q88" s="14"/>
      <c r="R88" s="14"/>
      <c r="S88" s="14"/>
      <c r="T88" s="14"/>
      <c r="U88" s="16"/>
      <c r="V88" s="14"/>
      <c r="AG88" s="68"/>
    </row>
    <row r="89" spans="1:33" ht="24.75" hidden="1" outlineLevel="1" x14ac:dyDescent="0.4">
      <c r="A89" s="70"/>
      <c r="B89" s="77">
        <f t="shared" si="1"/>
        <v>87</v>
      </c>
      <c r="C89" s="71"/>
      <c r="D89" s="72"/>
      <c r="E89" s="72"/>
      <c r="F89" s="15"/>
      <c r="G89" s="15"/>
      <c r="H89" s="14"/>
      <c r="I89" s="14"/>
      <c r="J89" s="15"/>
      <c r="K89" s="15"/>
      <c r="M89" s="12">
        <f t="shared" si="0"/>
        <v>87</v>
      </c>
      <c r="N89" s="13"/>
      <c r="O89" s="14"/>
      <c r="P89" s="14"/>
      <c r="Q89" s="14"/>
      <c r="R89" s="14"/>
      <c r="S89" s="14"/>
      <c r="T89" s="14"/>
      <c r="U89" s="16"/>
      <c r="V89" s="14"/>
      <c r="AG89" s="68"/>
    </row>
    <row r="90" spans="1:33" ht="24.75" hidden="1" outlineLevel="1" x14ac:dyDescent="0.4">
      <c r="A90" s="70"/>
      <c r="B90" s="77">
        <f t="shared" si="1"/>
        <v>88</v>
      </c>
      <c r="C90" s="71"/>
      <c r="D90" s="72"/>
      <c r="E90" s="72"/>
      <c r="F90" s="73"/>
      <c r="G90" s="74"/>
      <c r="H90" s="75"/>
      <c r="I90" s="76"/>
      <c r="J90" s="16"/>
      <c r="K90" s="75"/>
      <c r="M90" s="12">
        <f t="shared" si="0"/>
        <v>88</v>
      </c>
      <c r="N90" s="13"/>
      <c r="O90" s="14"/>
      <c r="P90" s="14"/>
      <c r="Q90" s="14"/>
      <c r="R90" s="14"/>
      <c r="S90" s="14"/>
      <c r="T90" s="14"/>
      <c r="U90" s="16"/>
      <c r="V90" s="14"/>
      <c r="AG90" s="68"/>
    </row>
    <row r="91" spans="1:33" ht="24.75" hidden="1" outlineLevel="1" x14ac:dyDescent="0.4">
      <c r="A91" s="70"/>
      <c r="B91" s="77">
        <f t="shared" si="1"/>
        <v>89</v>
      </c>
      <c r="C91" s="71"/>
      <c r="D91" s="72"/>
      <c r="E91" s="72"/>
      <c r="F91" s="15"/>
      <c r="G91" s="15"/>
      <c r="H91" s="14"/>
      <c r="I91" s="14"/>
      <c r="J91" s="15"/>
      <c r="K91" s="15"/>
      <c r="M91" s="12">
        <f t="shared" si="0"/>
        <v>89</v>
      </c>
      <c r="N91" s="13"/>
      <c r="O91" s="14"/>
      <c r="P91" s="14"/>
      <c r="Q91" s="14"/>
      <c r="R91" s="14"/>
      <c r="S91" s="14"/>
      <c r="T91" s="14"/>
      <c r="U91" s="16"/>
      <c r="V91" s="14"/>
      <c r="AG91" s="68"/>
    </row>
    <row r="92" spans="1:33" ht="24.75" hidden="1" outlineLevel="1" x14ac:dyDescent="0.4">
      <c r="A92" s="70"/>
      <c r="B92" s="77">
        <f t="shared" si="1"/>
        <v>90</v>
      </c>
      <c r="C92" s="71"/>
      <c r="D92" s="72"/>
      <c r="E92" s="72"/>
      <c r="F92" s="14"/>
      <c r="G92" s="14"/>
      <c r="H92" s="14"/>
      <c r="I92" s="14"/>
      <c r="J92" s="14"/>
      <c r="K92" s="14"/>
      <c r="M92" s="12">
        <f t="shared" si="0"/>
        <v>90</v>
      </c>
      <c r="N92" s="13"/>
      <c r="O92" s="14"/>
      <c r="P92" s="14"/>
      <c r="Q92" s="14"/>
      <c r="R92" s="14"/>
      <c r="S92" s="14"/>
      <c r="T92" s="14"/>
      <c r="U92" s="16"/>
      <c r="V92" s="14"/>
      <c r="AG92" s="68"/>
    </row>
    <row r="93" spans="1:33" ht="24.75" hidden="1" outlineLevel="1" x14ac:dyDescent="0.4">
      <c r="A93" s="70"/>
      <c r="B93" s="77">
        <f t="shared" si="1"/>
        <v>91</v>
      </c>
      <c r="C93" s="71"/>
      <c r="D93" s="72"/>
      <c r="E93" s="72"/>
      <c r="F93" s="15"/>
      <c r="G93" s="15"/>
      <c r="H93" s="14"/>
      <c r="I93" s="14"/>
      <c r="J93" s="15"/>
      <c r="K93" s="15"/>
      <c r="M93" s="12">
        <f t="shared" si="0"/>
        <v>91</v>
      </c>
      <c r="N93" s="13"/>
      <c r="O93" s="14"/>
      <c r="P93" s="14"/>
      <c r="Q93" s="14"/>
      <c r="R93" s="14"/>
      <c r="S93" s="14"/>
      <c r="T93" s="14"/>
      <c r="U93" s="16"/>
      <c r="V93" s="14"/>
      <c r="AG93" s="68"/>
    </row>
    <row r="94" spans="1:33" ht="24.75" hidden="1" outlineLevel="1" x14ac:dyDescent="0.4">
      <c r="A94" s="70"/>
      <c r="B94" s="77">
        <f t="shared" si="1"/>
        <v>92</v>
      </c>
      <c r="C94" s="71"/>
      <c r="D94" s="72"/>
      <c r="E94" s="72"/>
      <c r="F94" s="14"/>
      <c r="G94" s="14"/>
      <c r="H94" s="14"/>
      <c r="I94" s="14"/>
      <c r="J94" s="16"/>
      <c r="K94" s="14"/>
      <c r="M94" s="12">
        <f t="shared" si="0"/>
        <v>92</v>
      </c>
      <c r="N94" s="13"/>
      <c r="O94" s="14"/>
      <c r="P94" s="14"/>
      <c r="Q94" s="14"/>
      <c r="R94" s="14"/>
      <c r="S94" s="14"/>
      <c r="T94" s="14"/>
      <c r="U94" s="16"/>
      <c r="V94" s="14"/>
      <c r="AG94" s="68"/>
    </row>
    <row r="95" spans="1:33" ht="24.75" hidden="1" outlineLevel="1" x14ac:dyDescent="0.4">
      <c r="A95" s="70"/>
      <c r="B95" s="77">
        <f t="shared" si="1"/>
        <v>93</v>
      </c>
      <c r="C95" s="71"/>
      <c r="D95" s="72"/>
      <c r="E95" s="72"/>
      <c r="F95" s="15"/>
      <c r="G95" s="15"/>
      <c r="H95" s="14"/>
      <c r="I95" s="14"/>
      <c r="J95" s="15"/>
      <c r="K95" s="15"/>
      <c r="M95" s="12">
        <f t="shared" si="0"/>
        <v>93</v>
      </c>
      <c r="N95" s="13"/>
      <c r="O95" s="14"/>
      <c r="P95" s="14"/>
      <c r="Q95" s="14"/>
      <c r="R95" s="14"/>
      <c r="S95" s="14"/>
      <c r="T95" s="14"/>
      <c r="U95" s="16"/>
      <c r="V95" s="14"/>
      <c r="AG95" s="68"/>
    </row>
    <row r="96" spans="1:33" ht="24.75" hidden="1" outlineLevel="1" x14ac:dyDescent="0.4">
      <c r="A96" s="70"/>
      <c r="B96" s="77">
        <f t="shared" si="1"/>
        <v>94</v>
      </c>
      <c r="C96" s="71"/>
      <c r="D96" s="72"/>
      <c r="E96" s="72"/>
      <c r="F96" s="73"/>
      <c r="G96" s="74"/>
      <c r="H96" s="75"/>
      <c r="I96" s="76"/>
      <c r="J96" s="16"/>
      <c r="K96" s="75"/>
      <c r="M96" s="12">
        <f t="shared" si="0"/>
        <v>94</v>
      </c>
      <c r="N96" s="13"/>
      <c r="O96" s="14"/>
      <c r="P96" s="14"/>
      <c r="Q96" s="14"/>
      <c r="R96" s="14"/>
      <c r="S96" s="14"/>
      <c r="T96" s="14"/>
      <c r="U96" s="16"/>
      <c r="V96" s="14"/>
      <c r="AG96" s="68"/>
    </row>
    <row r="97" spans="1:33" ht="24.75" hidden="1" outlineLevel="1" x14ac:dyDescent="0.4">
      <c r="A97" s="70"/>
      <c r="B97" s="77">
        <f t="shared" si="1"/>
        <v>95</v>
      </c>
      <c r="C97" s="71"/>
      <c r="D97" s="72"/>
      <c r="E97" s="72"/>
      <c r="F97" s="15"/>
      <c r="G97" s="15"/>
      <c r="H97" s="14"/>
      <c r="I97" s="14"/>
      <c r="J97" s="15"/>
      <c r="K97" s="15"/>
      <c r="M97" s="12">
        <f t="shared" si="0"/>
        <v>95</v>
      </c>
      <c r="N97" s="13"/>
      <c r="O97" s="14"/>
      <c r="P97" s="14"/>
      <c r="Q97" s="14"/>
      <c r="R97" s="14"/>
      <c r="S97" s="14"/>
      <c r="T97" s="14"/>
      <c r="U97" s="16"/>
      <c r="V97" s="14"/>
      <c r="AG97" s="68"/>
    </row>
    <row r="98" spans="1:33" ht="24.75" hidden="1" outlineLevel="1" x14ac:dyDescent="0.4">
      <c r="A98" s="70"/>
      <c r="B98" s="77">
        <f t="shared" si="1"/>
        <v>96</v>
      </c>
      <c r="C98" s="71"/>
      <c r="D98" s="72"/>
      <c r="E98" s="72"/>
      <c r="F98" s="14"/>
      <c r="G98" s="14"/>
      <c r="H98" s="14"/>
      <c r="I98" s="14"/>
      <c r="J98" s="14"/>
      <c r="K98" s="14"/>
      <c r="M98" s="12">
        <f t="shared" si="0"/>
        <v>96</v>
      </c>
      <c r="N98" s="13"/>
      <c r="O98" s="14"/>
      <c r="P98" s="14"/>
      <c r="Q98" s="14"/>
      <c r="R98" s="14"/>
      <c r="S98" s="14"/>
      <c r="T98" s="14"/>
      <c r="U98" s="16"/>
      <c r="V98" s="14"/>
      <c r="AG98" s="68"/>
    </row>
    <row r="99" spans="1:33" ht="24.75" hidden="1" outlineLevel="1" x14ac:dyDescent="0.4">
      <c r="A99" s="70"/>
      <c r="B99" s="77">
        <f t="shared" si="1"/>
        <v>97</v>
      </c>
      <c r="C99" s="71"/>
      <c r="D99" s="72"/>
      <c r="E99" s="72"/>
      <c r="F99" s="15"/>
      <c r="G99" s="15"/>
      <c r="H99" s="14"/>
      <c r="I99" s="14"/>
      <c r="J99" s="15"/>
      <c r="K99" s="15"/>
      <c r="M99" s="12">
        <f t="shared" si="0"/>
        <v>97</v>
      </c>
      <c r="N99" s="13"/>
      <c r="O99" s="14"/>
      <c r="P99" s="14"/>
      <c r="Q99" s="14"/>
      <c r="R99" s="14"/>
      <c r="S99" s="14"/>
      <c r="T99" s="14"/>
      <c r="U99" s="16"/>
      <c r="V99" s="14"/>
      <c r="AG99" s="68"/>
    </row>
    <row r="100" spans="1:33" ht="24.75" hidden="1" outlineLevel="1" x14ac:dyDescent="0.4">
      <c r="A100" s="70"/>
      <c r="B100" s="77">
        <f t="shared" si="1"/>
        <v>98</v>
      </c>
      <c r="C100" s="71"/>
      <c r="D100" s="72"/>
      <c r="E100" s="72"/>
      <c r="F100" s="14"/>
      <c r="G100" s="14"/>
      <c r="H100" s="14"/>
      <c r="I100" s="14"/>
      <c r="J100" s="16"/>
      <c r="K100" s="14"/>
      <c r="M100" s="12">
        <f t="shared" si="0"/>
        <v>98</v>
      </c>
      <c r="N100" s="13"/>
      <c r="O100" s="14"/>
      <c r="P100" s="14"/>
      <c r="Q100" s="14"/>
      <c r="R100" s="14"/>
      <c r="S100" s="14"/>
      <c r="T100" s="14"/>
      <c r="U100" s="16"/>
      <c r="V100" s="14"/>
      <c r="AG100" s="68"/>
    </row>
    <row r="101" spans="1:33" ht="24.75" hidden="1" outlineLevel="1" x14ac:dyDescent="0.4">
      <c r="A101" s="70"/>
      <c r="B101" s="77">
        <f t="shared" si="1"/>
        <v>99</v>
      </c>
      <c r="C101" s="71"/>
      <c r="D101" s="72"/>
      <c r="E101" s="72"/>
      <c r="F101" s="15"/>
      <c r="G101" s="15"/>
      <c r="H101" s="14"/>
      <c r="I101" s="14"/>
      <c r="J101" s="15"/>
      <c r="K101" s="15"/>
      <c r="M101" s="12">
        <f t="shared" si="0"/>
        <v>99</v>
      </c>
      <c r="N101" s="13"/>
      <c r="O101" s="14"/>
      <c r="P101" s="14"/>
      <c r="Q101" s="14"/>
      <c r="R101" s="14"/>
      <c r="S101" s="14"/>
      <c r="T101" s="14"/>
      <c r="U101" s="16"/>
      <c r="V101" s="14"/>
      <c r="AG101" s="68"/>
    </row>
    <row r="102" spans="1:33" ht="24.75" hidden="1" outlineLevel="1" x14ac:dyDescent="0.4">
      <c r="A102" s="70"/>
      <c r="B102" s="77">
        <f t="shared" si="1"/>
        <v>100</v>
      </c>
      <c r="C102" s="71"/>
      <c r="D102" s="72"/>
      <c r="E102" s="72"/>
      <c r="F102" s="73"/>
      <c r="G102" s="74"/>
      <c r="H102" s="75"/>
      <c r="I102" s="76"/>
      <c r="J102" s="16"/>
      <c r="K102" s="75"/>
      <c r="M102" s="12">
        <f t="shared" si="0"/>
        <v>100</v>
      </c>
      <c r="N102" s="13"/>
      <c r="O102" s="14"/>
      <c r="P102" s="14"/>
      <c r="Q102" s="14"/>
      <c r="R102" s="14"/>
      <c r="S102" s="14"/>
      <c r="T102" s="14"/>
      <c r="U102" s="16"/>
      <c r="V102" s="14"/>
      <c r="AG102" s="68"/>
    </row>
    <row r="103" spans="1:33" ht="24.75" hidden="1" outlineLevel="1" x14ac:dyDescent="0.4">
      <c r="A103" s="70"/>
      <c r="B103" s="77">
        <f t="shared" si="1"/>
        <v>101</v>
      </c>
      <c r="C103" s="71"/>
      <c r="D103" s="72"/>
      <c r="E103" s="72"/>
      <c r="F103" s="15"/>
      <c r="G103" s="15"/>
      <c r="H103" s="14"/>
      <c r="I103" s="14"/>
      <c r="J103" s="15"/>
      <c r="K103" s="15"/>
      <c r="M103" s="12">
        <f t="shared" si="0"/>
        <v>101</v>
      </c>
      <c r="N103" s="13"/>
      <c r="O103" s="14"/>
      <c r="P103" s="14"/>
      <c r="Q103" s="14"/>
      <c r="R103" s="14"/>
      <c r="S103" s="14"/>
      <c r="T103" s="14"/>
      <c r="U103" s="16"/>
      <c r="V103" s="14"/>
      <c r="AG103" s="68"/>
    </row>
    <row r="104" spans="1:33" ht="24.75" collapsed="1" x14ac:dyDescent="0.4">
      <c r="A104" s="70"/>
      <c r="B104" s="77"/>
      <c r="C104" s="71"/>
      <c r="D104" s="72"/>
      <c r="E104" s="72"/>
      <c r="F104" s="73"/>
      <c r="G104" s="74"/>
      <c r="H104" s="75"/>
      <c r="I104" s="76"/>
      <c r="J104" s="16"/>
      <c r="K104" s="75"/>
      <c r="AG104" s="68"/>
    </row>
    <row r="105" spans="1:33" ht="24.75" x14ac:dyDescent="0.4">
      <c r="A105" s="70"/>
      <c r="B105" s="77"/>
      <c r="C105" s="71"/>
      <c r="D105" s="72"/>
      <c r="E105" s="72"/>
      <c r="F105" s="73"/>
      <c r="G105" s="74"/>
      <c r="H105" s="75"/>
      <c r="I105" s="76"/>
      <c r="J105" s="16"/>
      <c r="K105" s="75"/>
      <c r="AG105" s="68"/>
    </row>
    <row r="106" spans="1:33" x14ac:dyDescent="0.4">
      <c r="C106" s="10" t="s">
        <v>1</v>
      </c>
      <c r="D106"/>
      <c r="E106" t="str">
        <f>D154</f>
        <v>mariamadredelaiglesia</v>
      </c>
    </row>
    <row r="107" spans="1:33" x14ac:dyDescent="0.4">
      <c r="C107" s="10" t="s">
        <v>13</v>
      </c>
    </row>
    <row r="108" spans="1:33" x14ac:dyDescent="0.4">
      <c r="A108" s="9"/>
      <c r="C108" s="10" t="s">
        <v>14</v>
      </c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B108" s="9"/>
      <c r="AC108" s="9"/>
      <c r="AD108" s="9"/>
      <c r="AE108" s="9"/>
      <c r="AF108" s="17"/>
    </row>
    <row r="109" spans="1:33" x14ac:dyDescent="0.4">
      <c r="A109" s="9"/>
      <c r="C109" s="10" t="s">
        <v>15</v>
      </c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B109" s="9"/>
      <c r="AC109" s="9"/>
      <c r="AD109" s="9"/>
      <c r="AE109" s="9"/>
      <c r="AF109" s="17"/>
    </row>
    <row r="110" spans="1:33" x14ac:dyDescent="0.4">
      <c r="A110" s="9"/>
      <c r="C110" s="10" t="s">
        <v>16</v>
      </c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B110" s="9"/>
      <c r="AC110" s="9"/>
      <c r="AD110" s="9"/>
      <c r="AE110" s="9"/>
      <c r="AF110" s="17"/>
    </row>
    <row r="111" spans="1:33" x14ac:dyDescent="0.4">
      <c r="A111" s="9"/>
      <c r="C111" s="10" t="s">
        <v>17</v>
      </c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B111" s="9"/>
      <c r="AC111" s="9"/>
      <c r="AD111" s="9"/>
      <c r="AE111" s="9"/>
      <c r="AF111" s="17"/>
    </row>
    <row r="112" spans="1:33" x14ac:dyDescent="0.4">
      <c r="A112" s="9"/>
      <c r="C112" s="18" t="s">
        <v>90</v>
      </c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B112" s="9"/>
      <c r="AC112" s="9"/>
      <c r="AD112" s="9"/>
      <c r="AE112" s="9"/>
      <c r="AF112" s="17"/>
    </row>
    <row r="113" spans="1:32" x14ac:dyDescent="0.4">
      <c r="A113" s="9"/>
      <c r="C113" s="10" t="s">
        <v>1</v>
      </c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B113" s="9"/>
      <c r="AC113" s="9"/>
      <c r="AD113" s="9"/>
      <c r="AE113" s="9"/>
      <c r="AF113" s="17"/>
    </row>
    <row r="114" spans="1:32" x14ac:dyDescent="0.4">
      <c r="A114" s="9"/>
      <c r="C114" s="10" t="s">
        <v>13</v>
      </c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B114" s="9"/>
      <c r="AC114" s="9"/>
      <c r="AD114" s="9"/>
      <c r="AE114" s="9"/>
      <c r="AF114" s="17"/>
    </row>
    <row r="115" spans="1:32" x14ac:dyDescent="0.4">
      <c r="A115" s="9"/>
      <c r="C115" s="10" t="s">
        <v>18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B115" s="9"/>
      <c r="AC115" s="9"/>
      <c r="AD115" s="9"/>
      <c r="AE115" s="9"/>
      <c r="AF115" s="17"/>
    </row>
    <row r="116" spans="1:32" x14ac:dyDescent="0.4">
      <c r="A116" s="9"/>
      <c r="C116" s="10" t="s">
        <v>17</v>
      </c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B116" s="9"/>
      <c r="AC116" s="9"/>
      <c r="AD116" s="9"/>
      <c r="AE116" s="9"/>
      <c r="AF116" s="17"/>
    </row>
    <row r="117" spans="1:32" x14ac:dyDescent="0.4">
      <c r="A117" s="9"/>
      <c r="C117" s="18" t="s">
        <v>91</v>
      </c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B117" s="9"/>
      <c r="AC117" s="9"/>
      <c r="AD117" s="9"/>
      <c r="AE117" s="9"/>
      <c r="AF117" s="17"/>
    </row>
    <row r="118" spans="1:32" x14ac:dyDescent="0.4">
      <c r="A118" s="9"/>
      <c r="C118" s="10" t="s">
        <v>1</v>
      </c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B118" s="9"/>
      <c r="AC118" s="9"/>
      <c r="AD118" s="9"/>
      <c r="AE118" s="9"/>
      <c r="AF118" s="17"/>
    </row>
    <row r="119" spans="1:32" x14ac:dyDescent="0.4">
      <c r="A119" s="9"/>
      <c r="C119" s="10" t="s">
        <v>13</v>
      </c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B119" s="9"/>
      <c r="AC119" s="9"/>
      <c r="AD119" s="9"/>
      <c r="AE119" s="9"/>
      <c r="AF119" s="17"/>
    </row>
    <row r="120" spans="1:32" x14ac:dyDescent="0.4">
      <c r="A120" s="9"/>
      <c r="C120" s="10" t="s">
        <v>19</v>
      </c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B120" s="9"/>
      <c r="AC120" s="9"/>
      <c r="AD120" s="9"/>
      <c r="AE120" s="9"/>
      <c r="AF120" s="17"/>
    </row>
    <row r="121" spans="1:32" x14ac:dyDescent="0.4">
      <c r="A121" s="9"/>
      <c r="C121" s="10" t="s">
        <v>17</v>
      </c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B121" s="9"/>
      <c r="AC121" s="9"/>
      <c r="AD121" s="9"/>
      <c r="AE121" s="9"/>
      <c r="AF121" s="17"/>
    </row>
    <row r="122" spans="1:32" x14ac:dyDescent="0.4">
      <c r="A122" s="9"/>
      <c r="C122" s="19" t="s">
        <v>20</v>
      </c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B122" s="9"/>
      <c r="AC122" s="9"/>
      <c r="AD122" s="9"/>
      <c r="AE122" s="9"/>
      <c r="AF122" s="17"/>
    </row>
    <row r="123" spans="1:32" x14ac:dyDescent="0.4">
      <c r="A123" s="9"/>
      <c r="C123" s="19" t="s">
        <v>21</v>
      </c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B123" s="9"/>
      <c r="AC123" s="9"/>
      <c r="AD123" s="9"/>
      <c r="AE123" s="9"/>
      <c r="AF123" s="17"/>
    </row>
    <row r="124" spans="1:32" x14ac:dyDescent="0.4">
      <c r="A124" s="9"/>
      <c r="C124" s="19" t="s">
        <v>22</v>
      </c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B124" s="9"/>
      <c r="AC124" s="9"/>
      <c r="AD124" s="9"/>
      <c r="AE124" s="9"/>
      <c r="AF124" s="17"/>
    </row>
    <row r="125" spans="1:32" x14ac:dyDescent="0.4">
      <c r="A125" s="9"/>
      <c r="C125" s="10" t="s">
        <v>1</v>
      </c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B125" s="9"/>
      <c r="AC125" s="9"/>
      <c r="AD125" s="9"/>
      <c r="AE125" s="9"/>
      <c r="AF125" s="17"/>
    </row>
    <row r="126" spans="1:32" x14ac:dyDescent="0.4">
      <c r="A126" s="9"/>
      <c r="C126" s="10" t="s">
        <v>13</v>
      </c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B126" s="9"/>
      <c r="AC126" s="9"/>
      <c r="AD126" s="9"/>
      <c r="AE126" s="9"/>
      <c r="AF126" s="17"/>
    </row>
    <row r="127" spans="1:32" x14ac:dyDescent="0.4">
      <c r="A127" s="9"/>
      <c r="C127" s="10" t="s">
        <v>23</v>
      </c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B127" s="9"/>
      <c r="AC127" s="9"/>
      <c r="AD127" s="9"/>
      <c r="AE127" s="9"/>
      <c r="AF127" s="17"/>
    </row>
    <row r="128" spans="1:32" x14ac:dyDescent="0.4">
      <c r="A128" s="9"/>
      <c r="C128" s="10" t="s">
        <v>17</v>
      </c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B128" s="9"/>
      <c r="AC128" s="9"/>
      <c r="AD128" s="9"/>
      <c r="AE128" s="9"/>
      <c r="AF128" s="17"/>
    </row>
    <row r="129" spans="1:32" x14ac:dyDescent="0.4">
      <c r="A129" s="9"/>
      <c r="C129" s="20" t="s">
        <v>24</v>
      </c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B129" s="9"/>
      <c r="AC129" s="9"/>
      <c r="AD129" s="9"/>
      <c r="AE129" s="9"/>
      <c r="AF129" s="17"/>
    </row>
    <row r="130" spans="1:32" x14ac:dyDescent="0.4">
      <c r="A130" s="9"/>
      <c r="C130" s="21" t="s">
        <v>25</v>
      </c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B130" s="9"/>
      <c r="AC130" s="9"/>
      <c r="AD130" s="9"/>
      <c r="AE130" s="9"/>
      <c r="AF130" s="17"/>
    </row>
    <row r="131" spans="1:32" x14ac:dyDescent="0.4">
      <c r="A131" s="9"/>
      <c r="C131" s="18" t="s">
        <v>26</v>
      </c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B131" s="9"/>
      <c r="AC131" s="9"/>
      <c r="AD131" s="9"/>
      <c r="AE131" s="9"/>
      <c r="AF131" s="17"/>
    </row>
    <row r="132" spans="1:32" x14ac:dyDescent="0.4">
      <c r="A132" s="9"/>
      <c r="C132" s="18" t="s">
        <v>27</v>
      </c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B132" s="9"/>
      <c r="AC132" s="9"/>
      <c r="AD132" s="9"/>
      <c r="AE132" s="9"/>
      <c r="AF132" s="17"/>
    </row>
    <row r="133" spans="1:32" x14ac:dyDescent="0.4">
      <c r="A133" s="9"/>
      <c r="C133" s="18" t="s">
        <v>28</v>
      </c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B133" s="9"/>
      <c r="AC133" s="9"/>
      <c r="AD133" s="9"/>
      <c r="AE133" s="9"/>
      <c r="AF133" s="17"/>
    </row>
    <row r="134" spans="1:32" x14ac:dyDescent="0.4">
      <c r="A134" s="9"/>
      <c r="C134" s="21" t="s">
        <v>29</v>
      </c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B134" s="9"/>
      <c r="AC134" s="9"/>
      <c r="AD134" s="9"/>
      <c r="AE134" s="9"/>
      <c r="AF134" s="17"/>
    </row>
    <row r="135" spans="1:32" x14ac:dyDescent="0.4">
      <c r="A135" s="9"/>
      <c r="C135" s="80" t="s">
        <v>30</v>
      </c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B135" s="9"/>
      <c r="AC135" s="9"/>
      <c r="AD135" s="9"/>
      <c r="AE135" s="9"/>
      <c r="AF135" s="17"/>
    </row>
    <row r="136" spans="1:32" x14ac:dyDescent="0.4">
      <c r="A136" s="9"/>
      <c r="C136" s="10" t="s">
        <v>31</v>
      </c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B136" s="9"/>
      <c r="AC136" s="9"/>
      <c r="AD136" s="9"/>
      <c r="AE136" s="9"/>
      <c r="AF136" s="17"/>
    </row>
    <row r="137" spans="1:32" x14ac:dyDescent="0.4">
      <c r="A137" s="9"/>
      <c r="C137" s="10" t="s">
        <v>13</v>
      </c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B137" s="9"/>
      <c r="AC137" s="9"/>
      <c r="AD137" s="9"/>
      <c r="AE137" s="9"/>
      <c r="AF137" s="17"/>
    </row>
    <row r="138" spans="1:32" x14ac:dyDescent="0.4">
      <c r="A138" s="9"/>
      <c r="C138" s="10" t="s">
        <v>32</v>
      </c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B138" s="9"/>
      <c r="AC138" s="9"/>
      <c r="AD138" s="9"/>
      <c r="AE138" s="9"/>
      <c r="AF138" s="17"/>
    </row>
    <row r="139" spans="1:32" x14ac:dyDescent="0.4">
      <c r="A139" s="9"/>
      <c r="C139" s="10" t="s">
        <v>17</v>
      </c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B139" s="9"/>
      <c r="AC139" s="9"/>
      <c r="AD139" s="9"/>
      <c r="AE139" s="9"/>
      <c r="AF139" s="17"/>
    </row>
    <row r="140" spans="1:32" x14ac:dyDescent="0.4">
      <c r="A140" s="9"/>
      <c r="C140" s="82" t="s">
        <v>33</v>
      </c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B140" s="9"/>
      <c r="AC140" s="9"/>
      <c r="AD140" s="9"/>
      <c r="AE140" s="9"/>
      <c r="AF140" s="17"/>
    </row>
    <row r="141" spans="1:32" x14ac:dyDescent="0.4">
      <c r="A141" s="9"/>
      <c r="C141" s="82" t="s">
        <v>34</v>
      </c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B141" s="9"/>
      <c r="AC141" s="9"/>
      <c r="AD141" s="9"/>
      <c r="AE141" s="9"/>
      <c r="AF141" s="17"/>
    </row>
    <row r="142" spans="1:32" x14ac:dyDescent="0.4">
      <c r="A142" s="9"/>
      <c r="C142" s="82" t="s">
        <v>35</v>
      </c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B142" s="9"/>
      <c r="AC142" s="9"/>
      <c r="AD142" s="9"/>
      <c r="AE142" s="9"/>
      <c r="AF142" s="17"/>
    </row>
    <row r="143" spans="1:32" x14ac:dyDescent="0.4">
      <c r="A143" s="9"/>
      <c r="C143" s="82" t="s">
        <v>36</v>
      </c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B143" s="9"/>
      <c r="AC143" s="9"/>
      <c r="AD143" s="9"/>
      <c r="AE143" s="9"/>
      <c r="AF143" s="17"/>
    </row>
    <row r="144" spans="1:32" x14ac:dyDescent="0.4">
      <c r="A144" s="9"/>
      <c r="C144" s="82" t="s">
        <v>37</v>
      </c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B144" s="9"/>
      <c r="AC144" s="9"/>
      <c r="AD144" s="9"/>
      <c r="AE144" s="9"/>
      <c r="AF144" s="17"/>
    </row>
    <row r="145" spans="1:32" x14ac:dyDescent="0.4">
      <c r="A145" s="9"/>
      <c r="C145" s="82" t="s">
        <v>38</v>
      </c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B145" s="9"/>
      <c r="AC145" s="9"/>
      <c r="AD145" s="9"/>
      <c r="AE145" s="9"/>
      <c r="AF145" s="17"/>
    </row>
    <row r="146" spans="1:32" x14ac:dyDescent="0.4">
      <c r="A146" s="9"/>
      <c r="C146" s="82" t="s">
        <v>39</v>
      </c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B146" s="9"/>
      <c r="AC146" s="9"/>
      <c r="AD146" s="9"/>
      <c r="AE146" s="9"/>
      <c r="AF146" s="17"/>
    </row>
    <row r="147" spans="1:32" ht="24.75" x14ac:dyDescent="0.4">
      <c r="A147" s="9" t="s">
        <v>40</v>
      </c>
      <c r="B147" s="9" t="s">
        <v>40</v>
      </c>
      <c r="C147" s="82" t="s">
        <v>30</v>
      </c>
      <c r="E147" s="9"/>
      <c r="F147" s="12"/>
      <c r="G147" s="9"/>
      <c r="H147" s="9"/>
      <c r="I147" s="22" t="s">
        <v>41</v>
      </c>
      <c r="J147" s="22"/>
      <c r="K147" s="22"/>
      <c r="L147" s="22"/>
      <c r="M147" s="9"/>
      <c r="U147" s="13"/>
      <c r="AB147" s="9"/>
      <c r="AC147" s="9"/>
      <c r="AD147" s="9"/>
      <c r="AE147" s="9"/>
      <c r="AF147" s="17"/>
    </row>
    <row r="148" spans="1:32" x14ac:dyDescent="0.4">
      <c r="A148" s="9"/>
      <c r="C148" s="82" t="s">
        <v>42</v>
      </c>
      <c r="E148" s="9"/>
      <c r="J148" s="9"/>
      <c r="K148" s="9"/>
      <c r="L148" s="9"/>
      <c r="M148" s="9"/>
      <c r="AB148" s="9"/>
      <c r="AC148" s="9"/>
      <c r="AD148" s="9"/>
      <c r="AE148" s="9"/>
      <c r="AF148" s="17"/>
    </row>
    <row r="149" spans="1:32" x14ac:dyDescent="0.4">
      <c r="A149" s="9"/>
      <c r="C149" s="10" t="s">
        <v>31</v>
      </c>
      <c r="J149" s="9"/>
      <c r="K149" s="9"/>
      <c r="L149" s="9"/>
      <c r="M149" s="9"/>
      <c r="AB149" s="9"/>
      <c r="AC149" s="9"/>
      <c r="AD149" s="9"/>
      <c r="AE149" s="9"/>
      <c r="AF149" s="17"/>
    </row>
    <row r="150" spans="1:32" ht="24.75" thickBot="1" x14ac:dyDescent="0.45">
      <c r="A150" s="9"/>
      <c r="C150" s="10" t="s">
        <v>13</v>
      </c>
      <c r="J150" s="9"/>
      <c r="K150" s="9"/>
      <c r="L150" s="9"/>
      <c r="M150" s="9"/>
      <c r="AB150" s="9"/>
      <c r="AC150" s="9"/>
      <c r="AD150" s="9"/>
      <c r="AE150" s="9"/>
      <c r="AF150" s="17"/>
    </row>
    <row r="151" spans="1:32" ht="25.5" thickTop="1" thickBot="1" x14ac:dyDescent="0.45">
      <c r="A151" s="9"/>
      <c r="C151" s="10" t="s">
        <v>43</v>
      </c>
      <c r="D151" s="23">
        <f>H1</f>
        <v>111</v>
      </c>
      <c r="E151" s="9"/>
      <c r="J151" s="9"/>
      <c r="K151" s="9"/>
      <c r="L151" s="9"/>
      <c r="M151" s="9"/>
      <c r="AB151" s="9"/>
      <c r="AC151" s="9"/>
      <c r="AD151" s="9"/>
      <c r="AE151" s="9"/>
      <c r="AF151" s="17"/>
    </row>
    <row r="152" spans="1:32" ht="32.25" thickTop="1" x14ac:dyDescent="0.5">
      <c r="A152" s="9"/>
      <c r="C152" s="10" t="s">
        <v>17</v>
      </c>
      <c r="D152" s="24" t="str" cm="1">
        <f t="array" aca="1" ref="D152" ca="1">MID(CELL("filename", B106), FIND("]", CELL("filename", B106)) + 1, 255)</f>
        <v>MARIA, MADRE MIA</v>
      </c>
      <c r="J152" s="9"/>
      <c r="K152" s="9"/>
      <c r="L152" s="9"/>
      <c r="M152" s="9"/>
      <c r="AB152" s="9"/>
      <c r="AC152" s="9"/>
      <c r="AD152" s="9"/>
      <c r="AE152" s="9"/>
      <c r="AF152" s="17"/>
    </row>
    <row r="153" spans="1:32" x14ac:dyDescent="0.4">
      <c r="A153" s="9"/>
      <c r="C153" s="25" t="str">
        <f>_xlfn.CONCAT("const NOMBREDELCANTO = ","""",D153,"""",";")</f>
        <v>const NOMBREDELCANTO = "MARÍA, MADRE DE LA IGLESIA";</v>
      </c>
      <c r="D153" s="9" t="str">
        <f>VLOOKUP(D151,'[1]Codigo Canto'!A3:AQ236,38,FALSE)</f>
        <v>MARÍA, MADRE DE LA IGLESIA</v>
      </c>
      <c r="E153" s="5" t="str">
        <f>_xlfn.CONCAT(VLOOKUP(D151,'[1]Codigo Canto'!A3:AQ236,7,FALSE),".html")</f>
        <v>mariamadredelaiglesia.html</v>
      </c>
      <c r="F153" s="9"/>
      <c r="G153" s="9"/>
      <c r="AB153" s="9"/>
      <c r="AC153" s="9"/>
      <c r="AD153" s="9"/>
      <c r="AE153" s="9"/>
      <c r="AF153" s="17"/>
    </row>
    <row r="154" spans="1:32" x14ac:dyDescent="0.4">
      <c r="C154" s="18" t="s">
        <v>44</v>
      </c>
      <c r="D154" s="9" t="str">
        <f>VLOOKUP(D151,'[1]Codigo Canto'!A3:AQ236,7,FALSE)</f>
        <v>mariamadredelaiglesia</v>
      </c>
      <c r="E154" s="5" t="str">
        <f>_xlfn.CONCAT(VLOOKUP(D151,'[1]Codigo Canto'!A3:AQ236,7,FALSE),".mp3")</f>
        <v>mariamadredelaiglesia.mp3</v>
      </c>
    </row>
    <row r="155" spans="1:32" x14ac:dyDescent="0.4">
      <c r="A155" s="9"/>
      <c r="C155" s="18" t="s">
        <v>45</v>
      </c>
      <c r="D155" s="9" t="str">
        <f>_xlfn.CONCAT(VLOOKUP(D151,'[1]Codigo Canto'!A3:AQ236,7,FALSE))</f>
        <v>mariamadredelaiglesia</v>
      </c>
      <c r="AB155" s="9"/>
      <c r="AC155" s="9"/>
      <c r="AD155" s="9"/>
      <c r="AE155" s="9"/>
      <c r="AF155" s="17"/>
    </row>
    <row r="156" spans="1:32" x14ac:dyDescent="0.4">
      <c r="A156" s="9"/>
      <c r="C156" s="18" t="s">
        <v>46</v>
      </c>
      <c r="D156" s="26"/>
      <c r="AB156" s="9"/>
      <c r="AC156" s="9"/>
      <c r="AD156" s="9"/>
      <c r="AE156" s="9"/>
      <c r="AF156" s="17"/>
    </row>
    <row r="157" spans="1:32" x14ac:dyDescent="0.4">
      <c r="A157" s="9"/>
      <c r="C157" s="27" t="str">
        <f>_xlfn.CONCAT("      salmo: ","""",D157,"""",",")</f>
        <v xml:space="preserve">      salmo: "Juan 19,26-34",</v>
      </c>
      <c r="D157" s="9" t="str">
        <f>VLOOKUP(D151,'[1]Codigo Canto'!A3:AQ236,12,FALSE)</f>
        <v>Juan 19,26-34</v>
      </c>
      <c r="AB157" s="9"/>
      <c r="AC157" s="9"/>
      <c r="AD157" s="9"/>
      <c r="AE157" s="9"/>
      <c r="AF157" s="17"/>
    </row>
    <row r="158" spans="1:32" x14ac:dyDescent="0.4">
      <c r="C158" s="27" t="str">
        <f>_xlfn.CONCAT("      dbnos: ","""",D158,"""",",")</f>
        <v xml:space="preserve">      dbnos: "111",</v>
      </c>
      <c r="D158" s="28">
        <f>VLOOKUP(D151,'[1]Codigo Canto'!A3:AQ236,1,FALSE)</f>
        <v>111</v>
      </c>
      <c r="E158" s="9"/>
    </row>
    <row r="159" spans="1:32" x14ac:dyDescent="0.4">
      <c r="C159" s="27" t="str">
        <f>_xlfn.CONCAT("      catg: ","""",D159,"""",",")</f>
        <v xml:space="preserve">      catg: "PRECATECUMENADO",</v>
      </c>
      <c r="D159" s="9" t="str">
        <f>VLOOKUP(D151,'[1]Codigo Canto'!A3:AQ236,16,FALSE)</f>
        <v>PRECATECUMENADO</v>
      </c>
      <c r="E159" s="9"/>
    </row>
    <row r="160" spans="1:32" x14ac:dyDescent="0.4">
      <c r="C160" s="10" t="s">
        <v>1</v>
      </c>
      <c r="E160" s="9"/>
    </row>
    <row r="161" spans="1:32" x14ac:dyDescent="0.4">
      <c r="C161" s="10" t="s">
        <v>13</v>
      </c>
      <c r="E161" s="9"/>
    </row>
    <row r="162" spans="1:32" x14ac:dyDescent="0.4">
      <c r="C162" s="10" t="s">
        <v>47</v>
      </c>
    </row>
    <row r="163" spans="1:32" x14ac:dyDescent="0.4">
      <c r="C163" s="10" t="s">
        <v>17</v>
      </c>
    </row>
    <row r="164" spans="1:32" x14ac:dyDescent="0.4">
      <c r="C164" s="18" t="s">
        <v>48</v>
      </c>
    </row>
    <row r="165" spans="1:32" ht="26.25" hidden="1" x14ac:dyDescent="0.4">
      <c r="A165" t="s">
        <v>40</v>
      </c>
      <c r="B165" s="29">
        <v>1</v>
      </c>
      <c r="C165" s="29" t="str">
        <f>IF((E165&amp;D165)="","",_xlfn.CONCAT("/* ",B165," */","        ","""",D165,"""",","))</f>
        <v/>
      </c>
      <c r="D165" s="30" t="str">
        <f>IF(C3="","",C3)</f>
        <v/>
      </c>
      <c r="E165" s="31" t="str">
        <f>IF(D3="","",D3)</f>
        <v/>
      </c>
      <c r="F165" s="31" t="str">
        <f>IF(E3="","",E3)</f>
        <v/>
      </c>
      <c r="G165" s="32" t="str">
        <f>IF(F3="","",F3)</f>
        <v/>
      </c>
      <c r="H165" s="32" t="str">
        <f>IF(G3="","",G3)</f>
        <v/>
      </c>
      <c r="I165" s="33" t="str">
        <f>IF(H3="","",H3)</f>
        <v/>
      </c>
      <c r="J165" s="33" t="str">
        <f>IF(I3="","",I3)</f>
        <v/>
      </c>
      <c r="K165" s="32" t="str">
        <f>IF(J3="","",J3)</f>
        <v/>
      </c>
      <c r="L165" s="32" t="str">
        <f>IF(K3="","",K3)</f>
        <v/>
      </c>
      <c r="M165" s="5"/>
      <c r="O165" s="8"/>
      <c r="P165"/>
      <c r="Q165"/>
      <c r="R165"/>
      <c r="V165" s="5"/>
      <c r="Y165"/>
      <c r="AB165" s="5"/>
      <c r="AF165"/>
    </row>
    <row r="166" spans="1:32" ht="26.25" hidden="1" x14ac:dyDescent="0.4">
      <c r="B166" s="29">
        <f>+B165+1</f>
        <v>2</v>
      </c>
      <c r="C166" s="29" t="str">
        <f>IF((E166&amp;D166)="","",_xlfn.CONCAT("/* ",B166," */","        ","""",D166,"""",","))</f>
        <v/>
      </c>
      <c r="D166" s="34" t="str">
        <f>IF(C4="","",C4)</f>
        <v/>
      </c>
      <c r="E166" s="35" t="str">
        <f>IF(D4="","",D4)</f>
        <v/>
      </c>
      <c r="F166" s="35" t="str">
        <f>IF(E4="","",E4)</f>
        <v/>
      </c>
      <c r="G166" s="36" t="str">
        <f>IF(F4="","",F4)</f>
        <v/>
      </c>
      <c r="H166" s="36" t="str">
        <f>IF(G4="","",G4)</f>
        <v/>
      </c>
      <c r="I166" s="35" t="str">
        <f>IF(H4="","",H4)</f>
        <v/>
      </c>
      <c r="J166" s="35" t="str">
        <f>IF(I4="","",I4)</f>
        <v/>
      </c>
      <c r="K166" s="36" t="str">
        <f>IF(J4="","",J4)</f>
        <v/>
      </c>
      <c r="L166" s="36" t="str">
        <f>IF(K4="","",K4)</f>
        <v/>
      </c>
      <c r="M166" s="5"/>
      <c r="O166" s="8"/>
      <c r="P166"/>
      <c r="Q166"/>
      <c r="R166"/>
      <c r="V166" s="5"/>
      <c r="Y166"/>
      <c r="AB166" s="5"/>
      <c r="AF166"/>
    </row>
    <row r="167" spans="1:32" ht="26.25" hidden="1" x14ac:dyDescent="0.4">
      <c r="B167" s="29">
        <f t="shared" ref="B167:B264" si="2">+B166+1</f>
        <v>3</v>
      </c>
      <c r="C167" s="29" t="str">
        <f>IF((E167&amp;D167)="","",_xlfn.CONCAT("/* ",B167," */","        ","""",D167,"""",","))</f>
        <v/>
      </c>
      <c r="D167" s="30" t="str">
        <f>IF(C5="","",C5)</f>
        <v/>
      </c>
      <c r="E167" s="33" t="str">
        <f>IF(D5="","",D5)</f>
        <v/>
      </c>
      <c r="F167" s="33" t="str">
        <f>IF(E5="","",E5)</f>
        <v/>
      </c>
      <c r="G167" s="32" t="str">
        <f>IF(F5="","",F5)</f>
        <v/>
      </c>
      <c r="H167" s="32" t="str">
        <f>IF(G5="","",G5)</f>
        <v/>
      </c>
      <c r="I167" s="33" t="str">
        <f>IF(H5="","",H5)</f>
        <v/>
      </c>
      <c r="J167" s="33" t="str">
        <f>IF(I5="","",I5)</f>
        <v/>
      </c>
      <c r="K167" s="32" t="str">
        <f>IF(J5="","",J5)</f>
        <v/>
      </c>
      <c r="L167" s="32" t="str">
        <f>IF(K5="","",K5)</f>
        <v/>
      </c>
      <c r="M167" s="5"/>
      <c r="O167" s="8"/>
      <c r="P167"/>
      <c r="Q167"/>
      <c r="R167"/>
      <c r="V167" s="5"/>
      <c r="Y167"/>
      <c r="AB167" s="5"/>
      <c r="AF167"/>
    </row>
    <row r="168" spans="1:32" ht="26.25" hidden="1" x14ac:dyDescent="0.4">
      <c r="B168" s="29">
        <f t="shared" si="2"/>
        <v>4</v>
      </c>
      <c r="C168" s="29" t="str">
        <f>IF((E168&amp;D168)="","",_xlfn.CONCAT("/* ",B168," */","        ","""",D168,"""",","))</f>
        <v/>
      </c>
      <c r="D168" s="34" t="str">
        <f>IF(C6="","",C6)</f>
        <v/>
      </c>
      <c r="E168" s="35" t="str">
        <f>IF(D6="","",D6)</f>
        <v/>
      </c>
      <c r="F168" s="35" t="str">
        <f>IF(E6="","",E6)</f>
        <v/>
      </c>
      <c r="G168" s="36" t="str">
        <f>IF(F6="","",F6)</f>
        <v/>
      </c>
      <c r="H168" s="36" t="str">
        <f>IF(G6="","",G6)</f>
        <v/>
      </c>
      <c r="I168" s="35" t="str">
        <f>IF(H6="","",H6)</f>
        <v/>
      </c>
      <c r="J168" s="35" t="str">
        <f>IF(I6="","",I6)</f>
        <v/>
      </c>
      <c r="K168" s="36" t="str">
        <f>IF(J6="","",J6)</f>
        <v/>
      </c>
      <c r="L168" s="36" t="str">
        <f>IF(K6="","",K6)</f>
        <v/>
      </c>
      <c r="M168" s="5"/>
      <c r="O168" s="8"/>
      <c r="P168"/>
      <c r="Q168"/>
      <c r="R168"/>
      <c r="V168" s="5"/>
      <c r="Y168"/>
      <c r="AB168" s="5"/>
      <c r="AF168"/>
    </row>
    <row r="169" spans="1:32" ht="26.25" hidden="1" x14ac:dyDescent="0.4">
      <c r="B169" s="29">
        <f t="shared" si="2"/>
        <v>5</v>
      </c>
      <c r="C169" s="29" t="str">
        <f>IF((E169&amp;D169)="","",_xlfn.CONCAT("/* ",B169," */","        ","""",D169,"""",","))</f>
        <v/>
      </c>
      <c r="D169" s="30" t="str">
        <f>IF(C7="","",C7)</f>
        <v/>
      </c>
      <c r="E169" s="33" t="str">
        <f>IF(D7="","",D7)</f>
        <v/>
      </c>
      <c r="F169" s="33" t="str">
        <f>IF(E7="","",E7)</f>
        <v/>
      </c>
      <c r="G169" s="32" t="str">
        <f>IF(F7="","",F7)</f>
        <v/>
      </c>
      <c r="H169" s="32" t="str">
        <f>IF(G7="","",G7)</f>
        <v/>
      </c>
      <c r="I169" s="33" t="str">
        <f>IF(H7="","",H7)</f>
        <v/>
      </c>
      <c r="J169" s="33" t="str">
        <f>IF(I7="","",I7)</f>
        <v/>
      </c>
      <c r="K169" s="32" t="str">
        <f>IF(J7="","",J7)</f>
        <v/>
      </c>
      <c r="L169" s="32" t="str">
        <f>IF(K7="","",K7)</f>
        <v/>
      </c>
      <c r="M169" s="5"/>
      <c r="O169" s="8"/>
      <c r="P169"/>
      <c r="Q169"/>
      <c r="R169"/>
      <c r="V169" s="5"/>
      <c r="Y169"/>
      <c r="AB169" s="5"/>
      <c r="AF169"/>
    </row>
    <row r="170" spans="1:32" ht="26.25" hidden="1" x14ac:dyDescent="0.4">
      <c r="B170" s="29">
        <f t="shared" si="2"/>
        <v>6</v>
      </c>
      <c r="C170" s="29" t="str">
        <f>IF((E170&amp;D170)="","",_xlfn.CONCAT("/* ",B170," */","        ","""",D170,"""",","))</f>
        <v/>
      </c>
      <c r="D170" s="34" t="str">
        <f>IF(C8="","",C8)</f>
        <v/>
      </c>
      <c r="E170" s="35" t="str">
        <f>IF(D8="","",D8)</f>
        <v/>
      </c>
      <c r="F170" s="35" t="str">
        <f>IF(E8="","",E8)</f>
        <v/>
      </c>
      <c r="G170" s="36" t="str">
        <f>IF(F8="","",F8)</f>
        <v/>
      </c>
      <c r="H170" s="36" t="str">
        <f>IF(G8="","",G8)</f>
        <v/>
      </c>
      <c r="I170" s="35" t="str">
        <f>IF(H8="","",H8)</f>
        <v/>
      </c>
      <c r="J170" s="35" t="str">
        <f>IF(I8="","",I8)</f>
        <v/>
      </c>
      <c r="K170" s="36" t="str">
        <f>IF(J8="","",J8)</f>
        <v/>
      </c>
      <c r="L170" s="36" t="str">
        <f>IF(K8="","",K8)</f>
        <v/>
      </c>
      <c r="M170" s="5"/>
      <c r="O170" s="8"/>
      <c r="P170"/>
      <c r="Q170"/>
      <c r="R170"/>
      <c r="V170" s="5"/>
      <c r="Y170"/>
      <c r="AB170" s="5"/>
      <c r="AF170"/>
    </row>
    <row r="171" spans="1:32" ht="26.25" hidden="1" x14ac:dyDescent="0.4">
      <c r="B171" s="29">
        <f t="shared" si="2"/>
        <v>7</v>
      </c>
      <c r="C171" s="29" t="str">
        <f>IF((E171&amp;D171)="","",_xlfn.CONCAT("/* ",B171," */","        ","""",D171,"""",","))</f>
        <v/>
      </c>
      <c r="D171" s="30" t="str">
        <f>IF(C9="","",C9)</f>
        <v/>
      </c>
      <c r="E171" s="33" t="str">
        <f>IF(D9="","",D9)</f>
        <v/>
      </c>
      <c r="F171" s="33" t="str">
        <f>IF(E9="","",E9)</f>
        <v/>
      </c>
      <c r="G171" s="32" t="str">
        <f>IF(F9="","",F9)</f>
        <v/>
      </c>
      <c r="H171" s="32" t="str">
        <f>IF(G9="","",G9)</f>
        <v/>
      </c>
      <c r="I171" s="33" t="str">
        <f>IF(H9="","",H9)</f>
        <v/>
      </c>
      <c r="J171" s="33" t="str">
        <f>IF(I9="","",I9)</f>
        <v/>
      </c>
      <c r="K171" s="32" t="str">
        <f>IF(J9="","",J9)</f>
        <v/>
      </c>
      <c r="L171" s="32" t="str">
        <f>IF(K9="","",K9)</f>
        <v/>
      </c>
      <c r="M171" s="5"/>
      <c r="O171" s="8"/>
      <c r="P171"/>
      <c r="Q171"/>
      <c r="R171"/>
      <c r="V171" s="5"/>
      <c r="Y171"/>
      <c r="AB171" s="5"/>
      <c r="AF171"/>
    </row>
    <row r="172" spans="1:32" ht="26.25" hidden="1" x14ac:dyDescent="0.4">
      <c r="B172" s="29">
        <f t="shared" si="2"/>
        <v>8</v>
      </c>
      <c r="C172" s="29" t="str">
        <f>IF((E172&amp;D172)="","",_xlfn.CONCAT("/* ",B172," */","        ","""",D172,"""",","))</f>
        <v/>
      </c>
      <c r="D172" s="34" t="str">
        <f>IF(C10="","",C10)</f>
        <v/>
      </c>
      <c r="E172" s="35" t="str">
        <f>IF(D10="","",D10)</f>
        <v/>
      </c>
      <c r="F172" s="35" t="str">
        <f>IF(E10="","",E10)</f>
        <v/>
      </c>
      <c r="G172" s="36" t="str">
        <f>IF(F10="","",F10)</f>
        <v/>
      </c>
      <c r="H172" s="36" t="str">
        <f>IF(G10="","",G10)</f>
        <v/>
      </c>
      <c r="I172" s="35" t="str">
        <f>IF(H10="","",H10)</f>
        <v/>
      </c>
      <c r="J172" s="35" t="str">
        <f>IF(I10="","",I10)</f>
        <v/>
      </c>
      <c r="K172" s="36" t="str">
        <f>IF(J10="","",J10)</f>
        <v/>
      </c>
      <c r="L172" s="36" t="str">
        <f>IF(K10="","",K10)</f>
        <v/>
      </c>
      <c r="M172" s="5"/>
      <c r="O172" s="8"/>
      <c r="P172"/>
      <c r="Q172"/>
      <c r="R172"/>
      <c r="V172" s="5"/>
      <c r="Y172"/>
      <c r="AB172" s="5"/>
      <c r="AF172"/>
    </row>
    <row r="173" spans="1:32" ht="26.25" hidden="1" x14ac:dyDescent="0.4">
      <c r="B173" s="29">
        <f t="shared" si="2"/>
        <v>9</v>
      </c>
      <c r="C173" s="29" t="str">
        <f>IF((E173&amp;D173)="","",_xlfn.CONCAT("/* ",B173," */","        ","""",D173,"""",","))</f>
        <v/>
      </c>
      <c r="D173" s="30" t="str">
        <f>IF(C11="","",C11)</f>
        <v/>
      </c>
      <c r="E173" s="33" t="str">
        <f>IF(D11="","",D11)</f>
        <v/>
      </c>
      <c r="F173" s="33" t="str">
        <f>IF(E11="","",E11)</f>
        <v/>
      </c>
      <c r="G173" s="32" t="str">
        <f>IF(F11="","",F11)</f>
        <v/>
      </c>
      <c r="H173" s="32" t="str">
        <f>IF(G11="","",G11)</f>
        <v/>
      </c>
      <c r="I173" s="33" t="str">
        <f>IF(H11="","",H11)</f>
        <v/>
      </c>
      <c r="J173" s="33" t="str">
        <f>IF(I11="","",I11)</f>
        <v/>
      </c>
      <c r="K173" s="32" t="str">
        <f>IF(J11="","",J11)</f>
        <v/>
      </c>
      <c r="L173" s="32" t="str">
        <f>IF(K11="","",K11)</f>
        <v/>
      </c>
      <c r="M173" s="5"/>
      <c r="O173" s="8"/>
      <c r="P173"/>
      <c r="Q173"/>
      <c r="R173"/>
      <c r="V173" s="5"/>
      <c r="Y173"/>
      <c r="AB173" s="5"/>
      <c r="AF173"/>
    </row>
    <row r="174" spans="1:32" ht="26.25" hidden="1" x14ac:dyDescent="0.4">
      <c r="B174" s="29">
        <f t="shared" si="2"/>
        <v>10</v>
      </c>
      <c r="C174" s="29" t="str">
        <f>IF((E174&amp;D174)="","",_xlfn.CONCAT("/* ",B174," */","        ","""",D174,"""",","))</f>
        <v/>
      </c>
      <c r="D174" s="34" t="str">
        <f>IF(C12="","",C12)</f>
        <v/>
      </c>
      <c r="E174" s="35" t="str">
        <f>IF(D12="","",D12)</f>
        <v/>
      </c>
      <c r="F174" s="35" t="str">
        <f>IF(E12="","",E12)</f>
        <v/>
      </c>
      <c r="G174" s="36" t="str">
        <f>IF(F12="","",F12)</f>
        <v/>
      </c>
      <c r="H174" s="36" t="str">
        <f>IF(G12="","",G12)</f>
        <v/>
      </c>
      <c r="I174" s="35" t="str">
        <f>IF(H12="","",H12)</f>
        <v/>
      </c>
      <c r="J174" s="35" t="str">
        <f>IF(I12="","",I12)</f>
        <v/>
      </c>
      <c r="K174" s="36" t="str">
        <f>IF(J12="","",J12)</f>
        <v/>
      </c>
      <c r="L174" s="36" t="str">
        <f>IF(K12="","",K12)</f>
        <v/>
      </c>
      <c r="M174" s="5"/>
      <c r="O174" s="8"/>
      <c r="P174"/>
      <c r="Q174"/>
      <c r="R174"/>
      <c r="V174" s="5"/>
      <c r="Y174"/>
      <c r="AB174" s="5"/>
      <c r="AF174"/>
    </row>
    <row r="175" spans="1:32" ht="26.25" hidden="1" x14ac:dyDescent="0.4">
      <c r="B175" s="29">
        <f t="shared" si="2"/>
        <v>11</v>
      </c>
      <c r="C175" s="29" t="str">
        <f>IF((E175&amp;D175)="","",_xlfn.CONCAT("/* ",B175," */","        ","""",D175,"""",","))</f>
        <v/>
      </c>
      <c r="D175" s="30" t="str">
        <f>IF(C13="","",C13)</f>
        <v/>
      </c>
      <c r="E175" s="33" t="str">
        <f>IF(D13="","",D13)</f>
        <v/>
      </c>
      <c r="F175" s="33" t="str">
        <f>IF(E13="","",E13)</f>
        <v/>
      </c>
      <c r="G175" s="32" t="str">
        <f>IF(F13="","",F13)</f>
        <v/>
      </c>
      <c r="H175" s="32" t="str">
        <f>IF(G13="","",G13)</f>
        <v/>
      </c>
      <c r="I175" s="33" t="str">
        <f>IF(H13="","",H13)</f>
        <v/>
      </c>
      <c r="J175" s="33" t="str">
        <f>IF(I13="","",I13)</f>
        <v/>
      </c>
      <c r="K175" s="32" t="str">
        <f>IF(J13="","",J13)</f>
        <v/>
      </c>
      <c r="L175" s="32" t="str">
        <f>IF(K13="","",K13)</f>
        <v/>
      </c>
      <c r="M175" s="5"/>
      <c r="O175" s="8"/>
      <c r="P175"/>
      <c r="Q175"/>
      <c r="R175"/>
      <c r="V175" s="5"/>
      <c r="Y175"/>
      <c r="AB175" s="5"/>
      <c r="AF175"/>
    </row>
    <row r="176" spans="1:32" ht="26.25" hidden="1" x14ac:dyDescent="0.4">
      <c r="B176" s="29">
        <f t="shared" si="2"/>
        <v>12</v>
      </c>
      <c r="C176" s="29" t="str">
        <f>IF((E176&amp;D176)="","",_xlfn.CONCAT("/* ",B176," */","        ","""",D176,"""",","))</f>
        <v/>
      </c>
      <c r="D176" s="34" t="str">
        <f>IF(C14="","",C14)</f>
        <v/>
      </c>
      <c r="E176" s="35" t="str">
        <f>IF(D14="","",D14)</f>
        <v/>
      </c>
      <c r="F176" s="35" t="str">
        <f>IF(E14="","",E14)</f>
        <v/>
      </c>
      <c r="G176" s="36" t="str">
        <f>IF(F14="","",F14)</f>
        <v/>
      </c>
      <c r="H176" s="36" t="str">
        <f>IF(G14="","",G14)</f>
        <v/>
      </c>
      <c r="I176" s="35" t="str">
        <f>IF(H14="","",H14)</f>
        <v/>
      </c>
      <c r="J176" s="35" t="str">
        <f>IF(I14="","",I14)</f>
        <v/>
      </c>
      <c r="K176" s="36" t="str">
        <f>IF(J14="","",J14)</f>
        <v/>
      </c>
      <c r="L176" s="36" t="str">
        <f>IF(K14="","",K14)</f>
        <v/>
      </c>
      <c r="M176" s="5"/>
      <c r="O176" s="8"/>
      <c r="P176"/>
      <c r="Q176"/>
      <c r="R176"/>
      <c r="V176" s="5"/>
      <c r="Y176"/>
      <c r="AB176" s="5"/>
      <c r="AF176"/>
    </row>
    <row r="177" spans="2:32" ht="26.25" hidden="1" x14ac:dyDescent="0.4">
      <c r="B177" s="29">
        <f t="shared" si="2"/>
        <v>13</v>
      </c>
      <c r="C177" s="29" t="str">
        <f>IF((E177&amp;D177)="","",_xlfn.CONCAT("/* ",B177," */","        ","""",D177,"""",","))</f>
        <v/>
      </c>
      <c r="D177" s="30" t="str">
        <f>IF(C15="","",C15)</f>
        <v/>
      </c>
      <c r="E177" s="33" t="str">
        <f>IF(D15="","",D15)</f>
        <v/>
      </c>
      <c r="F177" s="33" t="str">
        <f>IF(E15="","",E15)</f>
        <v/>
      </c>
      <c r="G177" s="32" t="str">
        <f>IF(F15="","",F15)</f>
        <v/>
      </c>
      <c r="H177" s="32" t="str">
        <f>IF(G15="","",G15)</f>
        <v/>
      </c>
      <c r="I177" s="33" t="str">
        <f>IF(H15="","",H15)</f>
        <v/>
      </c>
      <c r="J177" s="33" t="str">
        <f>IF(I15="","",I15)</f>
        <v/>
      </c>
      <c r="K177" s="32" t="str">
        <f>IF(J15="","",J15)</f>
        <v/>
      </c>
      <c r="L177" s="32" t="str">
        <f>IF(K15="","",K15)</f>
        <v/>
      </c>
      <c r="M177" s="5"/>
      <c r="O177" s="8"/>
      <c r="P177"/>
      <c r="Q177"/>
      <c r="R177"/>
      <c r="V177" s="5"/>
      <c r="Y177"/>
      <c r="AB177" s="5"/>
      <c r="AF177"/>
    </row>
    <row r="178" spans="2:32" ht="26.25" hidden="1" x14ac:dyDescent="0.4">
      <c r="B178" s="29">
        <f t="shared" si="2"/>
        <v>14</v>
      </c>
      <c r="C178" s="29" t="str">
        <f>IF((E178&amp;D178)="","",_xlfn.CONCAT("/* ",B178," */","        ","""",D178,"""",","))</f>
        <v/>
      </c>
      <c r="D178" s="34" t="str">
        <f>IF(C16="","",C16)</f>
        <v/>
      </c>
      <c r="E178" s="35" t="str">
        <f>IF(D16="","",D16)</f>
        <v/>
      </c>
      <c r="F178" s="35" t="str">
        <f>IF(E16="","",E16)</f>
        <v/>
      </c>
      <c r="G178" s="36" t="str">
        <f>IF(F16="","",F16)</f>
        <v/>
      </c>
      <c r="H178" s="36" t="str">
        <f>IF(G16="","",G16)</f>
        <v/>
      </c>
      <c r="I178" s="35" t="str">
        <f>IF(H16="","",H16)</f>
        <v/>
      </c>
      <c r="J178" s="35" t="str">
        <f>IF(I16="","",I16)</f>
        <v/>
      </c>
      <c r="K178" s="36" t="str">
        <f>IF(J16="","",J16)</f>
        <v/>
      </c>
      <c r="L178" s="36" t="str">
        <f>IF(K16="","",K16)</f>
        <v/>
      </c>
      <c r="M178" s="5"/>
      <c r="O178" s="8"/>
      <c r="P178"/>
      <c r="Q178"/>
      <c r="R178"/>
      <c r="V178" s="5"/>
      <c r="Y178"/>
      <c r="AB178" s="5"/>
      <c r="AF178"/>
    </row>
    <row r="179" spans="2:32" ht="26.25" hidden="1" x14ac:dyDescent="0.4">
      <c r="B179" s="29">
        <f t="shared" si="2"/>
        <v>15</v>
      </c>
      <c r="C179" s="29" t="str">
        <f>IF((E179&amp;D179)="","",_xlfn.CONCAT("/* ",B179," */","        ","""",D179,"""",","))</f>
        <v/>
      </c>
      <c r="D179" s="30" t="str">
        <f>IF(C17="","",C17)</f>
        <v/>
      </c>
      <c r="E179" s="33" t="str">
        <f>IF(D17="","",D17)</f>
        <v/>
      </c>
      <c r="F179" s="33" t="str">
        <f>IF(E17="","",E17)</f>
        <v/>
      </c>
      <c r="G179" s="32" t="str">
        <f>IF(F17="","",F17)</f>
        <v/>
      </c>
      <c r="H179" s="32" t="str">
        <f>IF(G17="","",G17)</f>
        <v/>
      </c>
      <c r="I179" s="33" t="str">
        <f>IF(H17="","",H17)</f>
        <v/>
      </c>
      <c r="J179" s="33" t="str">
        <f>IF(I17="","",I17)</f>
        <v/>
      </c>
      <c r="K179" s="32" t="str">
        <f>IF(J17="","",J17)</f>
        <v/>
      </c>
      <c r="L179" s="32" t="str">
        <f>IF(K17="","",K17)</f>
        <v/>
      </c>
      <c r="M179" s="5"/>
      <c r="O179" s="8"/>
      <c r="P179"/>
      <c r="Q179"/>
      <c r="R179"/>
      <c r="V179" s="5"/>
      <c r="Y179"/>
      <c r="AB179" s="5"/>
      <c r="AF179"/>
    </row>
    <row r="180" spans="2:32" ht="26.25" hidden="1" x14ac:dyDescent="0.4">
      <c r="B180" s="29">
        <f t="shared" si="2"/>
        <v>16</v>
      </c>
      <c r="C180" s="29" t="str">
        <f>IF((E180&amp;D180)="","",_xlfn.CONCAT("/* ",B180," */","        ","""",D180,"""",","))</f>
        <v/>
      </c>
      <c r="D180" s="34" t="str">
        <f>IF(C18="","",C18)</f>
        <v/>
      </c>
      <c r="E180" s="35" t="str">
        <f>IF(D18="","",D18)</f>
        <v/>
      </c>
      <c r="F180" s="35" t="str">
        <f>IF(E18="","",E18)</f>
        <v/>
      </c>
      <c r="G180" s="36" t="str">
        <f>IF(F18="","",F18)</f>
        <v/>
      </c>
      <c r="H180" s="36" t="str">
        <f>IF(G18="","",G18)</f>
        <v/>
      </c>
      <c r="I180" s="35" t="str">
        <f>IF(H18="","",H18)</f>
        <v/>
      </c>
      <c r="J180" s="35" t="str">
        <f>IF(I18="","",I18)</f>
        <v/>
      </c>
      <c r="K180" s="36" t="str">
        <f>IF(J18="","",J18)</f>
        <v/>
      </c>
      <c r="L180" s="36" t="str">
        <f>IF(K18="","",K18)</f>
        <v/>
      </c>
      <c r="M180" s="5"/>
      <c r="O180" s="8"/>
      <c r="P180"/>
      <c r="Q180"/>
      <c r="R180"/>
      <c r="V180" s="5"/>
      <c r="Y180"/>
      <c r="AB180" s="5"/>
      <c r="AF180"/>
    </row>
    <row r="181" spans="2:32" ht="26.25" hidden="1" x14ac:dyDescent="0.4">
      <c r="B181" s="29">
        <f t="shared" si="2"/>
        <v>17</v>
      </c>
      <c r="C181" s="29" t="str">
        <f>IF((E181&amp;D181)="","",_xlfn.CONCAT("/* ",B181," */","        ","""",D181,"""",","))</f>
        <v/>
      </c>
      <c r="D181" s="30" t="str">
        <f>IF(C19="","",C19)</f>
        <v/>
      </c>
      <c r="E181" s="33" t="str">
        <f>IF(D19="","",D19)</f>
        <v/>
      </c>
      <c r="F181" s="33" t="str">
        <f>IF(E19="","",E19)</f>
        <v/>
      </c>
      <c r="G181" s="32" t="str">
        <f>IF(F19="","",F19)</f>
        <v/>
      </c>
      <c r="H181" s="32" t="str">
        <f>IF(G19="","",G19)</f>
        <v/>
      </c>
      <c r="I181" s="33" t="str">
        <f>IF(H19="","",H19)</f>
        <v/>
      </c>
      <c r="J181" s="33" t="str">
        <f>IF(I19="","",I19)</f>
        <v/>
      </c>
      <c r="K181" s="32" t="str">
        <f>IF(J19="","",J19)</f>
        <v/>
      </c>
      <c r="L181" s="32" t="str">
        <f>IF(K19="","",K19)</f>
        <v/>
      </c>
      <c r="M181" s="5"/>
      <c r="O181" s="8"/>
      <c r="P181"/>
      <c r="Q181"/>
      <c r="R181"/>
      <c r="V181" s="5"/>
      <c r="Y181"/>
      <c r="AB181" s="5"/>
      <c r="AF181"/>
    </row>
    <row r="182" spans="2:32" ht="26.25" hidden="1" x14ac:dyDescent="0.4">
      <c r="B182" s="29">
        <f t="shared" si="2"/>
        <v>18</v>
      </c>
      <c r="C182" s="29" t="str">
        <f>IF((E182&amp;D182)="","",_xlfn.CONCAT("/* ",B182," */","        ","""",D182,"""",","))</f>
        <v/>
      </c>
      <c r="D182" s="34" t="str">
        <f>IF(C20="","",C20)</f>
        <v/>
      </c>
      <c r="E182" s="35" t="str">
        <f>IF(D20="","",D20)</f>
        <v/>
      </c>
      <c r="F182" s="35" t="str">
        <f>IF(E20="","",E20)</f>
        <v/>
      </c>
      <c r="G182" s="36" t="str">
        <f>IF(F20="","",F20)</f>
        <v/>
      </c>
      <c r="H182" s="36" t="str">
        <f>IF(G20="","",G20)</f>
        <v/>
      </c>
      <c r="I182" s="35" t="str">
        <f>IF(H20="","",H20)</f>
        <v/>
      </c>
      <c r="J182" s="35" t="str">
        <f>IF(I20="","",I20)</f>
        <v/>
      </c>
      <c r="K182" s="36" t="str">
        <f>IF(J20="","",J20)</f>
        <v/>
      </c>
      <c r="L182" s="36" t="str">
        <f>IF(K20="","",K20)</f>
        <v/>
      </c>
      <c r="M182" s="5"/>
      <c r="O182" s="8"/>
      <c r="P182"/>
      <c r="Q182"/>
      <c r="R182"/>
      <c r="V182" s="5"/>
      <c r="Y182"/>
      <c r="AB182" s="5"/>
      <c r="AF182"/>
    </row>
    <row r="183" spans="2:32" ht="26.25" hidden="1" x14ac:dyDescent="0.4">
      <c r="B183" s="29">
        <f t="shared" si="2"/>
        <v>19</v>
      </c>
      <c r="C183" s="29" t="str">
        <f>IF((E183&amp;D183)="","",_xlfn.CONCAT("/* ",B183," */","        ","""",D183,"""",","))</f>
        <v/>
      </c>
      <c r="D183" s="30" t="str">
        <f>IF(C21="","",C21)</f>
        <v/>
      </c>
      <c r="E183" s="33" t="str">
        <f>IF(D21="","",D21)</f>
        <v/>
      </c>
      <c r="F183" s="33" t="str">
        <f>IF(E21="","",E21)</f>
        <v/>
      </c>
      <c r="G183" s="32" t="str">
        <f>IF(F21="","",F21)</f>
        <v/>
      </c>
      <c r="H183" s="32" t="str">
        <f>IF(G21="","",G21)</f>
        <v/>
      </c>
      <c r="I183" s="33" t="str">
        <f>IF(H21="","",H21)</f>
        <v/>
      </c>
      <c r="J183" s="33" t="str">
        <f>IF(I21="","",I21)</f>
        <v/>
      </c>
      <c r="K183" s="32" t="str">
        <f>IF(J21="","",J21)</f>
        <v/>
      </c>
      <c r="L183" s="32" t="str">
        <f>IF(K21="","",K21)</f>
        <v/>
      </c>
      <c r="M183" s="5"/>
      <c r="O183" s="8"/>
      <c r="P183"/>
      <c r="Q183"/>
      <c r="R183"/>
      <c r="V183" s="5"/>
      <c r="Y183"/>
      <c r="AB183" s="5"/>
      <c r="AF183"/>
    </row>
    <row r="184" spans="2:32" ht="26.25" hidden="1" x14ac:dyDescent="0.4">
      <c r="B184" s="29">
        <f t="shared" si="2"/>
        <v>20</v>
      </c>
      <c r="C184" s="29" t="str">
        <f>IF((E184&amp;D184)="","",_xlfn.CONCAT("/* ",B184," */","        ","""",D184,"""",","))</f>
        <v/>
      </c>
      <c r="D184" s="34" t="str">
        <f>IF(C22="","",C22)</f>
        <v/>
      </c>
      <c r="E184" s="35" t="str">
        <f>IF(D22="","",D22)</f>
        <v/>
      </c>
      <c r="F184" s="35" t="str">
        <f>IF(E22="","",E22)</f>
        <v/>
      </c>
      <c r="G184" s="36" t="str">
        <f>IF(F22="","",F22)</f>
        <v/>
      </c>
      <c r="H184" s="36" t="str">
        <f>IF(G22="","",G22)</f>
        <v/>
      </c>
      <c r="I184" s="35" t="str">
        <f>IF(H22="","",H22)</f>
        <v/>
      </c>
      <c r="J184" s="35" t="str">
        <f>IF(I22="","",I22)</f>
        <v/>
      </c>
      <c r="K184" s="36" t="str">
        <f>IF(J22="","",J22)</f>
        <v/>
      </c>
      <c r="L184" s="36" t="str">
        <f>IF(K22="","",K22)</f>
        <v/>
      </c>
      <c r="M184" s="5"/>
      <c r="O184" s="8"/>
      <c r="P184"/>
      <c r="Q184"/>
      <c r="R184"/>
      <c r="V184" s="5"/>
      <c r="Y184"/>
      <c r="AB184" s="5"/>
      <c r="AF184"/>
    </row>
    <row r="185" spans="2:32" ht="26.25" hidden="1" x14ac:dyDescent="0.4">
      <c r="B185" s="29">
        <f t="shared" si="2"/>
        <v>21</v>
      </c>
      <c r="C185" s="29" t="str">
        <f>IF((E185&amp;D185)="","",_xlfn.CONCAT("/* ",B185," */","        ","""",D185,"""",","))</f>
        <v/>
      </c>
      <c r="D185" s="30" t="str">
        <f>IF(C23="","",C23)</f>
        <v/>
      </c>
      <c r="E185" s="33" t="str">
        <f>IF(D23="","",D23)</f>
        <v/>
      </c>
      <c r="F185" s="33" t="str">
        <f>IF(E23="","",E23)</f>
        <v/>
      </c>
      <c r="G185" s="32" t="str">
        <f>IF(F23="","",F23)</f>
        <v/>
      </c>
      <c r="H185" s="32" t="str">
        <f>IF(G23="","",G23)</f>
        <v/>
      </c>
      <c r="I185" s="33" t="str">
        <f>IF(H23="","",H23)</f>
        <v/>
      </c>
      <c r="J185" s="33" t="str">
        <f>IF(I23="","",I23)</f>
        <v/>
      </c>
      <c r="K185" s="32" t="str">
        <f>IF(J23="","",J23)</f>
        <v/>
      </c>
      <c r="L185" s="32" t="str">
        <f>IF(K23="","",K23)</f>
        <v/>
      </c>
      <c r="M185" s="5"/>
      <c r="O185" s="8"/>
      <c r="P185"/>
      <c r="Q185"/>
      <c r="R185"/>
      <c r="V185" s="5"/>
      <c r="Y185"/>
      <c r="AB185" s="5"/>
      <c r="AF185"/>
    </row>
    <row r="186" spans="2:32" ht="26.25" hidden="1" x14ac:dyDescent="0.4">
      <c r="B186" s="29">
        <f t="shared" si="2"/>
        <v>22</v>
      </c>
      <c r="C186" s="29" t="str">
        <f>IF((E186&amp;D186)="","",_xlfn.CONCAT("/* ",B186," */","        ","""",D186,"""",","))</f>
        <v/>
      </c>
      <c r="D186" s="34" t="str">
        <f>IF(C24="","",C24)</f>
        <v/>
      </c>
      <c r="E186" s="35" t="str">
        <f>IF(D24="","",D24)</f>
        <v/>
      </c>
      <c r="F186" s="35" t="str">
        <f>IF(E24="","",E24)</f>
        <v/>
      </c>
      <c r="G186" s="36" t="str">
        <f>IF(F24="","",F24)</f>
        <v/>
      </c>
      <c r="H186" s="36" t="str">
        <f>IF(G24="","",G24)</f>
        <v/>
      </c>
      <c r="I186" s="35" t="str">
        <f>IF(H24="","",H24)</f>
        <v/>
      </c>
      <c r="J186" s="35" t="str">
        <f>IF(I24="","",I24)</f>
        <v/>
      </c>
      <c r="K186" s="36" t="str">
        <f>IF(J24="","",J24)</f>
        <v/>
      </c>
      <c r="L186" s="36" t="str">
        <f>IF(K24="","",K24)</f>
        <v/>
      </c>
      <c r="M186" s="5"/>
      <c r="O186" s="8"/>
      <c r="P186"/>
      <c r="Q186"/>
      <c r="R186"/>
      <c r="V186" s="5"/>
      <c r="Y186"/>
      <c r="AB186" s="5"/>
      <c r="AF186"/>
    </row>
    <row r="187" spans="2:32" ht="26.25" hidden="1" x14ac:dyDescent="0.4">
      <c r="B187" s="29">
        <f t="shared" si="2"/>
        <v>23</v>
      </c>
      <c r="C187" s="29" t="str">
        <f>IF((E187&amp;D187)="","",_xlfn.CONCAT("/* ",B187," */","        ","""",D187,"""",","))</f>
        <v/>
      </c>
      <c r="D187" s="30" t="str">
        <f>IF(C25="","",C25)</f>
        <v/>
      </c>
      <c r="E187" s="33" t="str">
        <f>IF(D25="","",D25)</f>
        <v/>
      </c>
      <c r="F187" s="33" t="str">
        <f>IF(E25="","",E25)</f>
        <v/>
      </c>
      <c r="G187" s="32" t="str">
        <f>IF(F25="","",F25)</f>
        <v/>
      </c>
      <c r="H187" s="32" t="str">
        <f>IF(G25="","",G25)</f>
        <v/>
      </c>
      <c r="I187" s="33" t="str">
        <f>IF(H25="","",H25)</f>
        <v/>
      </c>
      <c r="J187" s="33" t="str">
        <f>IF(I25="","",I25)</f>
        <v/>
      </c>
      <c r="K187" s="32" t="str">
        <f>IF(J25="","",J25)</f>
        <v/>
      </c>
      <c r="L187" s="32" t="str">
        <f>IF(K25="","",K25)</f>
        <v/>
      </c>
      <c r="M187" s="5"/>
      <c r="O187" s="8"/>
      <c r="P187"/>
      <c r="Q187"/>
      <c r="R187"/>
      <c r="V187" s="5"/>
      <c r="Y187"/>
      <c r="AB187" s="5"/>
      <c r="AF187"/>
    </row>
    <row r="188" spans="2:32" ht="26.25" hidden="1" x14ac:dyDescent="0.4">
      <c r="B188" s="29">
        <f t="shared" si="2"/>
        <v>24</v>
      </c>
      <c r="C188" s="29" t="str">
        <f>IF((E188&amp;D188)="","",_xlfn.CONCAT("/* ",B188," */","        ","""",D188,"""",","))</f>
        <v/>
      </c>
      <c r="D188" s="34" t="str">
        <f>IF(C26="","",C26)</f>
        <v/>
      </c>
      <c r="E188" s="35" t="str">
        <f>IF(D26="","",D26)</f>
        <v/>
      </c>
      <c r="F188" s="35" t="str">
        <f>IF(E26="","",E26)</f>
        <v/>
      </c>
      <c r="G188" s="36" t="str">
        <f>IF(F26="","",F26)</f>
        <v/>
      </c>
      <c r="H188" s="36" t="str">
        <f>IF(G26="","",G26)</f>
        <v/>
      </c>
      <c r="I188" s="35" t="str">
        <f>IF(H26="","",H26)</f>
        <v/>
      </c>
      <c r="J188" s="35" t="str">
        <f>IF(I26="","",I26)</f>
        <v/>
      </c>
      <c r="K188" s="36" t="str">
        <f>IF(J26="","",J26)</f>
        <v/>
      </c>
      <c r="L188" s="36" t="str">
        <f>IF(K26="","",K26)</f>
        <v/>
      </c>
      <c r="M188" s="5"/>
      <c r="O188" s="8"/>
      <c r="P188"/>
      <c r="Q188"/>
      <c r="R188"/>
      <c r="V188" s="5"/>
      <c r="Y188"/>
      <c r="AB188" s="5"/>
      <c r="AF188"/>
    </row>
    <row r="189" spans="2:32" ht="26.25" hidden="1" x14ac:dyDescent="0.4">
      <c r="B189" s="29">
        <f t="shared" si="2"/>
        <v>25</v>
      </c>
      <c r="C189" s="29" t="str">
        <f>IF((E189&amp;D189)="","",_xlfn.CONCAT("/* ",B189," */","        ","""",D189,"""",","))</f>
        <v/>
      </c>
      <c r="D189" s="30" t="str">
        <f>IF(C27="","",C27)</f>
        <v/>
      </c>
      <c r="E189" s="33" t="str">
        <f>IF(D27="","",D27)</f>
        <v/>
      </c>
      <c r="F189" s="33" t="str">
        <f>IF(E27="","",E27)</f>
        <v/>
      </c>
      <c r="G189" s="32" t="str">
        <f>IF(F27="","",F27)</f>
        <v/>
      </c>
      <c r="H189" s="32" t="str">
        <f>IF(G27="","",G27)</f>
        <v/>
      </c>
      <c r="I189" s="33" t="str">
        <f>IF(H27="","",H27)</f>
        <v/>
      </c>
      <c r="J189" s="33" t="str">
        <f>IF(I27="","",I27)</f>
        <v/>
      </c>
      <c r="K189" s="32" t="str">
        <f>IF(J27="","",J27)</f>
        <v/>
      </c>
      <c r="L189" s="32" t="str">
        <f>IF(K27="","",K27)</f>
        <v/>
      </c>
      <c r="M189" s="5"/>
      <c r="O189" s="8"/>
      <c r="P189"/>
      <c r="Q189"/>
      <c r="R189"/>
      <c r="V189" s="5"/>
      <c r="Y189"/>
      <c r="AB189" s="5"/>
      <c r="AF189"/>
    </row>
    <row r="190" spans="2:32" ht="26.25" hidden="1" x14ac:dyDescent="0.4">
      <c r="B190" s="29">
        <f t="shared" si="2"/>
        <v>26</v>
      </c>
      <c r="C190" s="29" t="str">
        <f>IF((E190&amp;D190)="","",_xlfn.CONCAT("/* ",B190," */","        ","""",D190,"""",","))</f>
        <v/>
      </c>
      <c r="D190" s="34" t="str">
        <f>IF(C28="","",C28)</f>
        <v/>
      </c>
      <c r="E190" s="35" t="str">
        <f>IF(D28="","",D28)</f>
        <v/>
      </c>
      <c r="F190" s="35" t="str">
        <f>IF(E28="","",E28)</f>
        <v/>
      </c>
      <c r="G190" s="36" t="str">
        <f>IF(F28="","",F28)</f>
        <v/>
      </c>
      <c r="H190" s="36" t="str">
        <f>IF(G28="","",G28)</f>
        <v/>
      </c>
      <c r="I190" s="35" t="str">
        <f>IF(H28="","",H28)</f>
        <v/>
      </c>
      <c r="J190" s="35" t="str">
        <f>IF(I28="","",I28)</f>
        <v/>
      </c>
      <c r="K190" s="36" t="str">
        <f>IF(J28="","",J28)</f>
        <v/>
      </c>
      <c r="L190" s="36" t="str">
        <f>IF(K28="","",K28)</f>
        <v/>
      </c>
      <c r="M190" s="5"/>
      <c r="O190" s="8"/>
      <c r="P190"/>
      <c r="Q190"/>
      <c r="R190"/>
      <c r="V190" s="5"/>
      <c r="Y190"/>
      <c r="AB190" s="5"/>
      <c r="AF190"/>
    </row>
    <row r="191" spans="2:32" ht="26.25" hidden="1" x14ac:dyDescent="0.4">
      <c r="B191" s="29">
        <f t="shared" si="2"/>
        <v>27</v>
      </c>
      <c r="C191" s="29" t="str">
        <f>IF((E191&amp;D191)="","",_xlfn.CONCAT("/* ",B191," */","        ","""",D191,"""",","))</f>
        <v/>
      </c>
      <c r="D191" s="30" t="str">
        <f>IF(C29="","",C29)</f>
        <v/>
      </c>
      <c r="E191" s="33" t="str">
        <f>IF(D29="","",D29)</f>
        <v/>
      </c>
      <c r="F191" s="33" t="str">
        <f>IF(E29="","",E29)</f>
        <v/>
      </c>
      <c r="G191" s="32" t="str">
        <f>IF(F29="","",F29)</f>
        <v/>
      </c>
      <c r="H191" s="32" t="str">
        <f>IF(G29="","",G29)</f>
        <v/>
      </c>
      <c r="I191" s="33" t="str">
        <f>IF(H29="","",H29)</f>
        <v/>
      </c>
      <c r="J191" s="33" t="str">
        <f>IF(I29="","",I29)</f>
        <v/>
      </c>
      <c r="K191" s="32" t="str">
        <f>IF(J29="","",J29)</f>
        <v/>
      </c>
      <c r="L191" s="32" t="str">
        <f>IF(K29="","",K29)</f>
        <v/>
      </c>
      <c r="M191" s="5"/>
      <c r="O191" s="8"/>
      <c r="P191"/>
      <c r="Q191"/>
      <c r="R191"/>
      <c r="V191" s="5"/>
      <c r="Y191"/>
      <c r="AB191" s="5"/>
      <c r="AF191"/>
    </row>
    <row r="192" spans="2:32" ht="26.25" hidden="1" x14ac:dyDescent="0.4">
      <c r="B192" s="29">
        <f t="shared" si="2"/>
        <v>28</v>
      </c>
      <c r="C192" s="29" t="str">
        <f>IF((E192&amp;D192)="","",_xlfn.CONCAT("/* ",B192," */","        ","""",D192,"""",","))</f>
        <v/>
      </c>
      <c r="D192" s="34" t="str">
        <f>IF(C30="","",C30)</f>
        <v/>
      </c>
      <c r="E192" s="35" t="str">
        <f>IF(D30="","",D30)</f>
        <v/>
      </c>
      <c r="F192" s="35" t="str">
        <f>IF(E30="","",E30)</f>
        <v/>
      </c>
      <c r="G192" s="36" t="str">
        <f>IF(F30="","",F30)</f>
        <v/>
      </c>
      <c r="H192" s="36" t="str">
        <f>IF(G30="","",G30)</f>
        <v/>
      </c>
      <c r="I192" s="35" t="str">
        <f>IF(H30="","",H30)</f>
        <v/>
      </c>
      <c r="J192" s="35" t="str">
        <f>IF(I30="","",I30)</f>
        <v/>
      </c>
      <c r="K192" s="36" t="str">
        <f>IF(J30="","",J30)</f>
        <v/>
      </c>
      <c r="L192" s="36" t="str">
        <f>IF(K30="","",K30)</f>
        <v/>
      </c>
      <c r="M192" s="5"/>
      <c r="O192" s="8"/>
      <c r="P192"/>
      <c r="Q192"/>
      <c r="R192"/>
      <c r="V192" s="5"/>
      <c r="Y192"/>
      <c r="AB192" s="5"/>
      <c r="AF192"/>
    </row>
    <row r="193" spans="2:32" ht="26.25" hidden="1" x14ac:dyDescent="0.4">
      <c r="B193" s="29">
        <f t="shared" si="2"/>
        <v>29</v>
      </c>
      <c r="C193" s="29" t="str">
        <f>IF((E193&amp;D193)="","",_xlfn.CONCAT("/* ",B193," */","        ","""",D193,"""",","))</f>
        <v/>
      </c>
      <c r="D193" s="30" t="str">
        <f>IF(C31="","",C31)</f>
        <v/>
      </c>
      <c r="E193" s="33" t="str">
        <f>IF(D31="","",D31)</f>
        <v/>
      </c>
      <c r="F193" s="33" t="str">
        <f>IF(E31="","",E31)</f>
        <v/>
      </c>
      <c r="G193" s="32" t="str">
        <f>IF(F31="","",F31)</f>
        <v/>
      </c>
      <c r="H193" s="32" t="str">
        <f>IF(G31="","",G31)</f>
        <v/>
      </c>
      <c r="I193" s="33" t="str">
        <f>IF(H31="","",H31)</f>
        <v/>
      </c>
      <c r="J193" s="33" t="str">
        <f>IF(I31="","",I31)</f>
        <v/>
      </c>
      <c r="K193" s="32" t="str">
        <f>IF(J31="","",J31)</f>
        <v/>
      </c>
      <c r="L193" s="32" t="str">
        <f>IF(K31="","",K31)</f>
        <v/>
      </c>
      <c r="M193" s="5"/>
      <c r="O193" s="8"/>
      <c r="P193"/>
      <c r="Q193"/>
      <c r="R193"/>
      <c r="V193" s="5"/>
      <c r="Y193"/>
      <c r="AB193" s="5"/>
      <c r="AF193"/>
    </row>
    <row r="194" spans="2:32" ht="26.25" hidden="1" x14ac:dyDescent="0.4">
      <c r="B194" s="29">
        <f t="shared" si="2"/>
        <v>30</v>
      </c>
      <c r="C194" s="29" t="str">
        <f>IF((E194&amp;D194)="","",_xlfn.CONCAT("/* ",B194," */","        ","""",D194,"""",","))</f>
        <v/>
      </c>
      <c r="D194" s="34" t="str">
        <f>IF(C32="","",C32)</f>
        <v/>
      </c>
      <c r="E194" s="35" t="str">
        <f>IF(D32="","",D32)</f>
        <v/>
      </c>
      <c r="F194" s="35" t="str">
        <f>IF(E32="","",E32)</f>
        <v/>
      </c>
      <c r="G194" s="36" t="str">
        <f>IF(F32="","",F32)</f>
        <v/>
      </c>
      <c r="H194" s="36" t="str">
        <f>IF(G32="","",G32)</f>
        <v/>
      </c>
      <c r="I194" s="35" t="str">
        <f>IF(H32="","",H32)</f>
        <v/>
      </c>
      <c r="J194" s="35" t="str">
        <f>IF(I32="","",I32)</f>
        <v/>
      </c>
      <c r="K194" s="36" t="str">
        <f>IF(J32="","",J32)</f>
        <v/>
      </c>
      <c r="L194" s="36" t="str">
        <f>IF(K32="","",K32)</f>
        <v/>
      </c>
      <c r="M194" s="5"/>
      <c r="O194" s="8"/>
      <c r="P194"/>
      <c r="Q194"/>
      <c r="R194"/>
      <c r="V194" s="5"/>
      <c r="Y194"/>
      <c r="AB194" s="5"/>
      <c r="AF194"/>
    </row>
    <row r="195" spans="2:32" ht="26.25" hidden="1" x14ac:dyDescent="0.4">
      <c r="B195" s="29">
        <f t="shared" si="2"/>
        <v>31</v>
      </c>
      <c r="C195" s="29" t="str">
        <f>IF((E195&amp;D195)="","",_xlfn.CONCAT("/* ",B195," */","        ","""",D195,"""",","))</f>
        <v/>
      </c>
      <c r="D195" s="30" t="str">
        <f>IF(C33="","",C33)</f>
        <v/>
      </c>
      <c r="E195" s="33" t="str">
        <f>IF(D33="","",D33)</f>
        <v/>
      </c>
      <c r="F195" s="33" t="str">
        <f>IF(E33="","",E33)</f>
        <v/>
      </c>
      <c r="G195" s="32" t="str">
        <f>IF(F33="","",F33)</f>
        <v/>
      </c>
      <c r="H195" s="32" t="str">
        <f>IF(G33="","",G33)</f>
        <v/>
      </c>
      <c r="I195" s="33" t="str">
        <f>IF(H33="","",H33)</f>
        <v/>
      </c>
      <c r="J195" s="33" t="str">
        <f>IF(I33="","",I33)</f>
        <v/>
      </c>
      <c r="K195" s="32" t="str">
        <f>IF(J33="","",J33)</f>
        <v/>
      </c>
      <c r="L195" s="32" t="str">
        <f>IF(K33="","",K33)</f>
        <v/>
      </c>
      <c r="M195" s="5"/>
      <c r="O195" s="8"/>
      <c r="P195"/>
      <c r="Q195"/>
      <c r="R195"/>
      <c r="V195" s="5"/>
      <c r="Y195"/>
      <c r="AB195" s="5"/>
      <c r="AF195"/>
    </row>
    <row r="196" spans="2:32" ht="26.25" hidden="1" x14ac:dyDescent="0.4">
      <c r="B196" s="29">
        <f t="shared" si="2"/>
        <v>32</v>
      </c>
      <c r="C196" s="29" t="str">
        <f>IF((E196&amp;D196)="","",_xlfn.CONCAT("/* ",B196," */","        ","""",D196,"""",","))</f>
        <v/>
      </c>
      <c r="D196" s="34" t="str">
        <f>IF(C34="","",C34)</f>
        <v/>
      </c>
      <c r="E196" s="35" t="str">
        <f>IF(D34="","",D34)</f>
        <v/>
      </c>
      <c r="F196" s="35" t="str">
        <f>IF(E34="","",E34)</f>
        <v/>
      </c>
      <c r="G196" s="36" t="str">
        <f>IF(F34="","",F34)</f>
        <v/>
      </c>
      <c r="H196" s="36" t="str">
        <f>IF(G34="","",G34)</f>
        <v/>
      </c>
      <c r="I196" s="35" t="str">
        <f>IF(H34="","",H34)</f>
        <v/>
      </c>
      <c r="J196" s="35" t="str">
        <f>IF(I34="","",I34)</f>
        <v/>
      </c>
      <c r="K196" s="36" t="str">
        <f>IF(J34="","",J34)</f>
        <v/>
      </c>
      <c r="L196" s="36" t="str">
        <f>IF(K34="","",K34)</f>
        <v/>
      </c>
      <c r="M196" s="5"/>
      <c r="O196" s="8"/>
      <c r="P196"/>
      <c r="Q196"/>
      <c r="R196"/>
      <c r="V196" s="5"/>
      <c r="Y196"/>
      <c r="AB196" s="5"/>
      <c r="AF196"/>
    </row>
    <row r="197" spans="2:32" ht="26.25" hidden="1" x14ac:dyDescent="0.4">
      <c r="B197" s="29">
        <f t="shared" si="2"/>
        <v>33</v>
      </c>
      <c r="C197" s="29" t="str">
        <f>IF((E197&amp;D197)="","",_xlfn.CONCAT("/* ",B197," */","        ","""",D197,"""",","))</f>
        <v/>
      </c>
      <c r="D197" s="30" t="str">
        <f>IF(C35="","",C35)</f>
        <v/>
      </c>
      <c r="E197" s="33" t="str">
        <f>IF(D35="","",D35)</f>
        <v/>
      </c>
      <c r="F197" s="33" t="str">
        <f>IF(E35="","",E35)</f>
        <v/>
      </c>
      <c r="G197" s="32" t="str">
        <f>IF(F35="","",F35)</f>
        <v/>
      </c>
      <c r="H197" s="32" t="str">
        <f>IF(G35="","",G35)</f>
        <v/>
      </c>
      <c r="I197" s="33" t="str">
        <f>IF(H35="","",H35)</f>
        <v/>
      </c>
      <c r="J197" s="33" t="str">
        <f>IF(I35="","",I35)</f>
        <v/>
      </c>
      <c r="K197" s="32" t="str">
        <f>IF(J35="","",J35)</f>
        <v/>
      </c>
      <c r="L197" s="32" t="str">
        <f>IF(K35="","",K35)</f>
        <v/>
      </c>
      <c r="M197" s="5"/>
      <c r="O197" s="8"/>
      <c r="P197"/>
      <c r="Q197"/>
      <c r="R197"/>
      <c r="V197" s="5"/>
      <c r="Y197"/>
      <c r="AB197" s="5"/>
      <c r="AF197"/>
    </row>
    <row r="198" spans="2:32" ht="26.25" hidden="1" x14ac:dyDescent="0.4">
      <c r="B198" s="29">
        <f t="shared" si="2"/>
        <v>34</v>
      </c>
      <c r="C198" s="29" t="str">
        <f>IF((E198&amp;D198)="","",_xlfn.CONCAT("/* ",B198," */","        ","""",D198,"""",","))</f>
        <v/>
      </c>
      <c r="D198" s="34" t="str">
        <f>IF(C36="","",C36)</f>
        <v/>
      </c>
      <c r="E198" s="35" t="str">
        <f>IF(D36="","",D36)</f>
        <v/>
      </c>
      <c r="F198" s="35" t="str">
        <f>IF(E36="","",E36)</f>
        <v/>
      </c>
      <c r="G198" s="36" t="str">
        <f>IF(F36="","",F36)</f>
        <v/>
      </c>
      <c r="H198" s="36" t="str">
        <f>IF(G36="","",G36)</f>
        <v/>
      </c>
      <c r="I198" s="35" t="str">
        <f>IF(H36="","",H36)</f>
        <v/>
      </c>
      <c r="J198" s="35" t="str">
        <f>IF(I36="","",I36)</f>
        <v/>
      </c>
      <c r="K198" s="36" t="str">
        <f>IF(J36="","",J36)</f>
        <v/>
      </c>
      <c r="L198" s="36" t="str">
        <f>IF(K36="","",K36)</f>
        <v/>
      </c>
      <c r="M198" s="5"/>
      <c r="O198" s="8"/>
      <c r="P198"/>
      <c r="Q198"/>
      <c r="R198"/>
      <c r="V198" s="5"/>
      <c r="Y198"/>
      <c r="AB198" s="5"/>
      <c r="AF198"/>
    </row>
    <row r="199" spans="2:32" ht="26.25" hidden="1" x14ac:dyDescent="0.4">
      <c r="B199" s="29">
        <f t="shared" si="2"/>
        <v>35</v>
      </c>
      <c r="C199" s="29" t="str">
        <f>IF((E199&amp;D199)="","",_xlfn.CONCAT("/* ",B199," */","        ","""",D199,"""",","))</f>
        <v/>
      </c>
      <c r="D199" s="30" t="str">
        <f>IF(C37="","",C37)</f>
        <v/>
      </c>
      <c r="E199" s="33" t="str">
        <f>IF(D37="","",D37)</f>
        <v/>
      </c>
      <c r="F199" s="33" t="str">
        <f>IF(E37="","",E37)</f>
        <v/>
      </c>
      <c r="G199" s="32" t="str">
        <f>IF(F37="","",F37)</f>
        <v/>
      </c>
      <c r="H199" s="32" t="str">
        <f>IF(G37="","",G37)</f>
        <v/>
      </c>
      <c r="I199" s="33" t="str">
        <f>IF(H37="","",H37)</f>
        <v/>
      </c>
      <c r="J199" s="33" t="str">
        <f>IF(I37="","",I37)</f>
        <v/>
      </c>
      <c r="K199" s="32" t="str">
        <f>IF(J37="","",J37)</f>
        <v/>
      </c>
      <c r="L199" s="32" t="str">
        <f>IF(K37="","",K37)</f>
        <v/>
      </c>
      <c r="M199" s="5"/>
      <c r="O199" s="8"/>
      <c r="P199"/>
      <c r="Q199"/>
      <c r="R199"/>
      <c r="V199" s="5"/>
      <c r="Y199"/>
      <c r="AB199" s="5"/>
      <c r="AF199"/>
    </row>
    <row r="200" spans="2:32" ht="26.25" hidden="1" x14ac:dyDescent="0.4">
      <c r="B200" s="29">
        <f t="shared" si="2"/>
        <v>36</v>
      </c>
      <c r="C200" s="29" t="str">
        <f>IF((E200&amp;D200)="","",_xlfn.CONCAT("/* ",B200," */","        ","""",D200,"""",","))</f>
        <v/>
      </c>
      <c r="D200" s="34" t="str">
        <f>IF(C38="","",C38)</f>
        <v/>
      </c>
      <c r="E200" s="35" t="str">
        <f>IF(D38="","",D38)</f>
        <v/>
      </c>
      <c r="F200" s="35" t="str">
        <f>IF(E38="","",E38)</f>
        <v/>
      </c>
      <c r="G200" s="36" t="str">
        <f>IF(F38="","",F38)</f>
        <v/>
      </c>
      <c r="H200" s="36" t="str">
        <f>IF(G38="","",G38)</f>
        <v/>
      </c>
      <c r="I200" s="35" t="str">
        <f>IF(H38="","",H38)</f>
        <v/>
      </c>
      <c r="J200" s="35" t="str">
        <f>IF(I38="","",I38)</f>
        <v/>
      </c>
      <c r="K200" s="36" t="str">
        <f>IF(J38="","",J38)</f>
        <v/>
      </c>
      <c r="L200" s="36" t="str">
        <f>IF(K38="","",K38)</f>
        <v/>
      </c>
      <c r="M200" s="5"/>
      <c r="O200" s="8"/>
      <c r="P200"/>
      <c r="Q200"/>
      <c r="R200"/>
      <c r="V200" s="5"/>
      <c r="Y200"/>
      <c r="AB200" s="5"/>
      <c r="AF200"/>
    </row>
    <row r="201" spans="2:32" ht="26.25" hidden="1" x14ac:dyDescent="0.4">
      <c r="B201" s="29">
        <f t="shared" si="2"/>
        <v>37</v>
      </c>
      <c r="C201" s="29" t="str">
        <f>IF((E201&amp;D201)="","",_xlfn.CONCAT("/* ",B201," */","        ","""",D201,"""",","))</f>
        <v/>
      </c>
      <c r="D201" s="30" t="str">
        <f>IF(C39="","",C39)</f>
        <v/>
      </c>
      <c r="E201" s="33" t="str">
        <f>IF(D39="","",D39)</f>
        <v/>
      </c>
      <c r="F201" s="33" t="str">
        <f>IF(E39="","",E39)</f>
        <v/>
      </c>
      <c r="G201" s="32" t="str">
        <f>IF(F39="","",F39)</f>
        <v/>
      </c>
      <c r="H201" s="32" t="str">
        <f>IF(G39="","",G39)</f>
        <v/>
      </c>
      <c r="I201" s="33" t="str">
        <f>IF(H39="","",H39)</f>
        <v/>
      </c>
      <c r="J201" s="33" t="str">
        <f>IF(I39="","",I39)</f>
        <v/>
      </c>
      <c r="K201" s="32" t="str">
        <f>IF(J39="","",J39)</f>
        <v/>
      </c>
      <c r="L201" s="32" t="str">
        <f>IF(K39="","",K39)</f>
        <v/>
      </c>
      <c r="M201" s="5"/>
      <c r="O201" s="8"/>
      <c r="P201"/>
      <c r="Q201"/>
      <c r="R201"/>
      <c r="V201" s="5"/>
      <c r="Y201"/>
      <c r="AB201" s="5"/>
      <c r="AF201"/>
    </row>
    <row r="202" spans="2:32" ht="26.25" hidden="1" x14ac:dyDescent="0.4">
      <c r="B202" s="29">
        <f t="shared" si="2"/>
        <v>38</v>
      </c>
      <c r="C202" s="29" t="str">
        <f>IF((E202&amp;D202)="","",_xlfn.CONCAT("/* ",B202," */","        ","""",D202,"""",","))</f>
        <v/>
      </c>
      <c r="D202" s="34" t="str">
        <f>IF(C40="","",C40)</f>
        <v/>
      </c>
      <c r="E202" s="35" t="str">
        <f>IF(D40="","",D40)</f>
        <v/>
      </c>
      <c r="F202" s="35" t="str">
        <f>IF(E40="","",E40)</f>
        <v/>
      </c>
      <c r="G202" s="36" t="str">
        <f>IF(F40="","",F40)</f>
        <v/>
      </c>
      <c r="H202" s="36" t="str">
        <f>IF(G40="","",G40)</f>
        <v/>
      </c>
      <c r="I202" s="35" t="str">
        <f>IF(H40="","",H40)</f>
        <v/>
      </c>
      <c r="J202" s="35" t="str">
        <f>IF(I40="","",I40)</f>
        <v/>
      </c>
      <c r="K202" s="36" t="str">
        <f>IF(J40="","",J40)</f>
        <v/>
      </c>
      <c r="L202" s="36" t="str">
        <f>IF(K40="","",K40)</f>
        <v/>
      </c>
      <c r="M202" s="5"/>
      <c r="O202" s="8"/>
      <c r="P202"/>
      <c r="Q202"/>
      <c r="R202"/>
      <c r="V202" s="5"/>
      <c r="Y202"/>
      <c r="AB202" s="5"/>
      <c r="AF202"/>
    </row>
    <row r="203" spans="2:32" ht="26.25" hidden="1" x14ac:dyDescent="0.4">
      <c r="B203" s="29">
        <f t="shared" si="2"/>
        <v>39</v>
      </c>
      <c r="C203" s="29" t="str">
        <f>IF((E203&amp;D203)="","",_xlfn.CONCAT("/* ",B203," */","        ","""",D203,"""",","))</f>
        <v/>
      </c>
      <c r="D203" s="30" t="str">
        <f>IF(C41="","",C41)</f>
        <v/>
      </c>
      <c r="E203" s="33" t="str">
        <f>IF(D41="","",D41)</f>
        <v/>
      </c>
      <c r="F203" s="33" t="str">
        <f>IF(E41="","",E41)</f>
        <v/>
      </c>
      <c r="G203" s="32" t="str">
        <f>IF(F41="","",F41)</f>
        <v/>
      </c>
      <c r="H203" s="32" t="str">
        <f>IF(G41="","",G41)</f>
        <v/>
      </c>
      <c r="I203" s="33" t="str">
        <f>IF(H41="","",H41)</f>
        <v/>
      </c>
      <c r="J203" s="33" t="str">
        <f>IF(I41="","",I41)</f>
        <v/>
      </c>
      <c r="K203" s="32" t="str">
        <f>IF(J41="","",J41)</f>
        <v/>
      </c>
      <c r="L203" s="32" t="str">
        <f>IF(K41="","",K41)</f>
        <v/>
      </c>
      <c r="M203" s="5"/>
      <c r="O203" s="8"/>
      <c r="P203"/>
      <c r="Q203"/>
      <c r="R203"/>
      <c r="V203" s="5"/>
      <c r="Y203"/>
      <c r="AB203" s="5"/>
      <c r="AF203"/>
    </row>
    <row r="204" spans="2:32" ht="26.25" hidden="1" x14ac:dyDescent="0.4">
      <c r="B204" s="29">
        <f t="shared" si="2"/>
        <v>40</v>
      </c>
      <c r="C204" s="29" t="str">
        <f>IF((E204&amp;D204)="","",_xlfn.CONCAT("/* ",B204," */","        ","""",D204,"""",","))</f>
        <v/>
      </c>
      <c r="D204" s="34" t="str">
        <f>IF(C42="","",C42)</f>
        <v/>
      </c>
      <c r="E204" s="35" t="str">
        <f>IF(D42="","",D42)</f>
        <v/>
      </c>
      <c r="F204" s="35" t="str">
        <f>IF(E42="","",E42)</f>
        <v/>
      </c>
      <c r="G204" s="36" t="str">
        <f>IF(F42="","",F42)</f>
        <v/>
      </c>
      <c r="H204" s="36" t="str">
        <f>IF(G42="","",G42)</f>
        <v/>
      </c>
      <c r="I204" s="35" t="str">
        <f>IF(H42="","",H42)</f>
        <v/>
      </c>
      <c r="J204" s="35" t="str">
        <f>IF(I42="","",I42)</f>
        <v/>
      </c>
      <c r="K204" s="36" t="str">
        <f>IF(J42="","",J42)</f>
        <v/>
      </c>
      <c r="L204" s="36" t="str">
        <f>IF(K42="","",K42)</f>
        <v/>
      </c>
    </row>
    <row r="205" spans="2:32" ht="26.25" hidden="1" x14ac:dyDescent="0.4">
      <c r="B205" s="29">
        <f t="shared" si="2"/>
        <v>41</v>
      </c>
      <c r="C205" s="29" t="str">
        <f>IF((E205&amp;D205)="","",_xlfn.CONCAT("/* ",B205," */","        ","""",D205,"""",","))</f>
        <v/>
      </c>
      <c r="D205" s="30" t="str">
        <f>IF(C43="","",C43)</f>
        <v/>
      </c>
      <c r="E205" s="33" t="str">
        <f>IF(D43="","",D43)</f>
        <v/>
      </c>
      <c r="F205" s="33" t="str">
        <f>IF(E43="","",E43)</f>
        <v/>
      </c>
      <c r="G205" s="32" t="str">
        <f>IF(F43="","",F43)</f>
        <v/>
      </c>
      <c r="H205" s="32" t="str">
        <f>IF(G43="","",G43)</f>
        <v/>
      </c>
      <c r="I205" s="33" t="str">
        <f>IF(H43="","",H43)</f>
        <v/>
      </c>
      <c r="J205" s="33" t="str">
        <f>IF(I43="","",I43)</f>
        <v/>
      </c>
      <c r="K205" s="32" t="str">
        <f>IF(J43="","",J43)</f>
        <v/>
      </c>
      <c r="L205" s="32" t="str">
        <f>IF(K43="","",K43)</f>
        <v/>
      </c>
    </row>
    <row r="206" spans="2:32" ht="26.25" hidden="1" x14ac:dyDescent="0.4">
      <c r="B206" s="29">
        <f t="shared" si="2"/>
        <v>42</v>
      </c>
      <c r="C206" s="29" t="str">
        <f>IF((E206&amp;D206)="","",_xlfn.CONCAT("/* ",B206," */","        ","""",D206,"""",","))</f>
        <v/>
      </c>
      <c r="D206" s="34" t="str">
        <f>IF(C44="","",C44)</f>
        <v/>
      </c>
      <c r="E206" s="35" t="str">
        <f>IF(D44="","",D44)</f>
        <v/>
      </c>
      <c r="F206" s="35" t="str">
        <f>IF(E44="","",E44)</f>
        <v/>
      </c>
      <c r="G206" s="36" t="str">
        <f>IF(F44="","",F44)</f>
        <v/>
      </c>
      <c r="H206" s="36" t="str">
        <f>IF(G44="","",G44)</f>
        <v/>
      </c>
      <c r="I206" s="35" t="str">
        <f>IF(H44="","",H44)</f>
        <v/>
      </c>
      <c r="J206" s="35" t="str">
        <f>IF(I44="","",I44)</f>
        <v/>
      </c>
      <c r="K206" s="36" t="str">
        <f>IF(J44="","",J44)</f>
        <v/>
      </c>
      <c r="L206" s="36" t="str">
        <f>IF(K44="","",K44)</f>
        <v/>
      </c>
    </row>
    <row r="207" spans="2:32" ht="26.25" hidden="1" x14ac:dyDescent="0.4">
      <c r="B207" s="29">
        <f t="shared" si="2"/>
        <v>43</v>
      </c>
      <c r="C207" s="29" t="str">
        <f>IF((E207&amp;D207)="","",_xlfn.CONCAT("/* ",B207," */","        ","""",D207,"""",","))</f>
        <v/>
      </c>
      <c r="D207" s="30" t="str">
        <f>IF(C45="","",C45)</f>
        <v/>
      </c>
      <c r="E207" s="33" t="str">
        <f>IF(D45="","",D45)</f>
        <v/>
      </c>
      <c r="F207" s="33" t="str">
        <f>IF(E45="","",E45)</f>
        <v/>
      </c>
      <c r="G207" s="32" t="str">
        <f>IF(F45="","",F45)</f>
        <v/>
      </c>
      <c r="H207" s="32" t="str">
        <f>IF(G45="","",G45)</f>
        <v/>
      </c>
      <c r="I207" s="33" t="str">
        <f>IF(H45="","",H45)</f>
        <v/>
      </c>
      <c r="J207" s="33" t="str">
        <f>IF(I45="","",I45)</f>
        <v/>
      </c>
      <c r="K207" s="32" t="str">
        <f>IF(J45="","",J45)</f>
        <v/>
      </c>
      <c r="L207" s="32" t="str">
        <f>IF(K45="","",K45)</f>
        <v/>
      </c>
    </row>
    <row r="208" spans="2:32" ht="26.25" hidden="1" x14ac:dyDescent="0.4">
      <c r="B208" s="29">
        <f t="shared" si="2"/>
        <v>44</v>
      </c>
      <c r="C208" s="29" t="str">
        <f>IF((E208&amp;D208)="","",_xlfn.CONCAT("/* ",B208," */","        ","""",D208,"""",","))</f>
        <v/>
      </c>
      <c r="D208" s="34" t="str">
        <f>IF(C46="","",C46)</f>
        <v/>
      </c>
      <c r="E208" s="35" t="str">
        <f>IF(D46="","",D46)</f>
        <v/>
      </c>
      <c r="F208" s="35" t="str">
        <f>IF(E46="","",E46)</f>
        <v/>
      </c>
      <c r="G208" s="36" t="str">
        <f>IF(F46="","",F46)</f>
        <v/>
      </c>
      <c r="H208" s="36" t="str">
        <f>IF(G46="","",G46)</f>
        <v/>
      </c>
      <c r="I208" s="35" t="str">
        <f>IF(H46="","",H46)</f>
        <v/>
      </c>
      <c r="J208" s="35" t="str">
        <f>IF(I46="","",I46)</f>
        <v/>
      </c>
      <c r="K208" s="36" t="str">
        <f>IF(J46="","",J46)</f>
        <v/>
      </c>
      <c r="L208" s="36" t="str">
        <f>IF(K46="","",K46)</f>
        <v/>
      </c>
    </row>
    <row r="209" spans="2:12" ht="26.25" hidden="1" x14ac:dyDescent="0.4">
      <c r="B209" s="29">
        <f t="shared" si="2"/>
        <v>45</v>
      </c>
      <c r="C209" s="29" t="str">
        <f>IF((E209&amp;D209)="","",_xlfn.CONCAT("/* ",B209," */","        ","""",D209,"""",","))</f>
        <v/>
      </c>
      <c r="D209" s="30" t="str">
        <f>IF(C47="","",C47)</f>
        <v/>
      </c>
      <c r="E209" s="33" t="str">
        <f>IF(D47="","",D47)</f>
        <v/>
      </c>
      <c r="F209" s="33" t="str">
        <f>IF(E47="","",E47)</f>
        <v/>
      </c>
      <c r="G209" s="32" t="str">
        <f>IF(F47="","",F47)</f>
        <v/>
      </c>
      <c r="H209" s="32" t="str">
        <f>IF(G47="","",G47)</f>
        <v/>
      </c>
      <c r="I209" s="33" t="str">
        <f>IF(H47="","",H47)</f>
        <v/>
      </c>
      <c r="J209" s="33" t="str">
        <f>IF(I47="","",I47)</f>
        <v/>
      </c>
      <c r="K209" s="32" t="str">
        <f>IF(J47="","",J47)</f>
        <v/>
      </c>
      <c r="L209" s="32" t="str">
        <f>IF(K47="","",K47)</f>
        <v/>
      </c>
    </row>
    <row r="210" spans="2:12" ht="26.25" hidden="1" x14ac:dyDescent="0.4">
      <c r="B210" s="29">
        <f t="shared" si="2"/>
        <v>46</v>
      </c>
      <c r="C210" s="29" t="str">
        <f>IF((E210&amp;D210)="","",_xlfn.CONCAT("/* ",B210," */","        ","""",D210,"""",","))</f>
        <v/>
      </c>
      <c r="D210" s="34" t="str">
        <f>IF(C48="","",C48)</f>
        <v/>
      </c>
      <c r="E210" s="35" t="str">
        <f>IF(D48="","",D48)</f>
        <v/>
      </c>
      <c r="F210" s="35" t="str">
        <f>IF(E48="","",E48)</f>
        <v/>
      </c>
      <c r="G210" s="36" t="str">
        <f>IF(F48="","",F48)</f>
        <v/>
      </c>
      <c r="H210" s="36" t="str">
        <f>IF(G48="","",G48)</f>
        <v/>
      </c>
      <c r="I210" s="35" t="str">
        <f>IF(H48="","",H48)</f>
        <v/>
      </c>
      <c r="J210" s="35" t="str">
        <f>IF(I48="","",I48)</f>
        <v/>
      </c>
      <c r="K210" s="36" t="str">
        <f>IF(J48="","",J48)</f>
        <v/>
      </c>
      <c r="L210" s="36" t="str">
        <f>IF(K48="","",K48)</f>
        <v/>
      </c>
    </row>
    <row r="211" spans="2:12" ht="26.25" hidden="1" x14ac:dyDescent="0.4">
      <c r="B211" s="29">
        <f t="shared" si="2"/>
        <v>47</v>
      </c>
      <c r="C211" s="29" t="str">
        <f>IF((E211&amp;D211)="","",_xlfn.CONCAT("/* ",B211," */","        ","""",D211,"""",","))</f>
        <v/>
      </c>
      <c r="D211" s="30" t="str">
        <f>IF(C49="","",C49)</f>
        <v/>
      </c>
      <c r="E211" s="33" t="str">
        <f>IF(D49="","",D49)</f>
        <v/>
      </c>
      <c r="F211" s="33" t="str">
        <f>IF(E49="","",E49)</f>
        <v/>
      </c>
      <c r="G211" s="32" t="str">
        <f>IF(F49="","",F49)</f>
        <v/>
      </c>
      <c r="H211" s="32" t="str">
        <f>IF(G49="","",G49)</f>
        <v/>
      </c>
      <c r="I211" s="33" t="str">
        <f>IF(H49="","",H49)</f>
        <v/>
      </c>
      <c r="J211" s="33" t="str">
        <f>IF(I49="","",I49)</f>
        <v/>
      </c>
      <c r="K211" s="32" t="str">
        <f>IF(J49="","",J49)</f>
        <v/>
      </c>
      <c r="L211" s="32" t="str">
        <f>IF(K49="","",K49)</f>
        <v/>
      </c>
    </row>
    <row r="212" spans="2:12" ht="26.25" hidden="1" x14ac:dyDescent="0.4">
      <c r="B212" s="29">
        <f t="shared" si="2"/>
        <v>48</v>
      </c>
      <c r="C212" s="29" t="str">
        <f>IF((E212&amp;D212)="","",_xlfn.CONCAT("/* ",B212," */","        ","""",D212,"""",","))</f>
        <v/>
      </c>
      <c r="D212" s="34" t="str">
        <f>IF(C50="","",C50)</f>
        <v/>
      </c>
      <c r="E212" s="35" t="str">
        <f>IF(D50="","",D50)</f>
        <v/>
      </c>
      <c r="F212" s="35" t="str">
        <f>IF(E50="","",E50)</f>
        <v/>
      </c>
      <c r="G212" s="36" t="str">
        <f>IF(F50="","",F50)</f>
        <v/>
      </c>
      <c r="H212" s="36" t="str">
        <f>IF(G50="","",G50)</f>
        <v/>
      </c>
      <c r="I212" s="35" t="str">
        <f>IF(H50="","",H50)</f>
        <v/>
      </c>
      <c r="J212" s="35" t="str">
        <f>IF(I50="","",I50)</f>
        <v/>
      </c>
      <c r="K212" s="36" t="str">
        <f>IF(J50="","",J50)</f>
        <v/>
      </c>
      <c r="L212" s="36" t="str">
        <f>IF(K50="","",K50)</f>
        <v/>
      </c>
    </row>
    <row r="213" spans="2:12" ht="26.25" hidden="1" x14ac:dyDescent="0.4">
      <c r="B213" s="29">
        <f t="shared" si="2"/>
        <v>49</v>
      </c>
      <c r="C213" s="29" t="str">
        <f>IF((E213&amp;D213)="","",_xlfn.CONCAT("/* ",B213," */","        ","""",D213,"""",","))</f>
        <v/>
      </c>
      <c r="D213" s="30" t="str">
        <f>IF(C51="","",C51)</f>
        <v/>
      </c>
      <c r="E213" s="33" t="str">
        <f>IF(D51="","",D51)</f>
        <v/>
      </c>
      <c r="F213" s="33" t="str">
        <f>IF(E51="","",E51)</f>
        <v/>
      </c>
      <c r="G213" s="32" t="str">
        <f>IF(F51="","",F51)</f>
        <v/>
      </c>
      <c r="H213" s="32" t="str">
        <f>IF(G51="","",G51)</f>
        <v/>
      </c>
      <c r="I213" s="33" t="str">
        <f>IF(H51="","",H51)</f>
        <v/>
      </c>
      <c r="J213" s="33" t="str">
        <f>IF(I51="","",I51)</f>
        <v/>
      </c>
      <c r="K213" s="32" t="str">
        <f>IF(J51="","",J51)</f>
        <v/>
      </c>
      <c r="L213" s="32" t="str">
        <f>IF(K51="","",K51)</f>
        <v/>
      </c>
    </row>
    <row r="214" spans="2:12" ht="26.25" hidden="1" x14ac:dyDescent="0.4">
      <c r="B214" s="29">
        <f t="shared" si="2"/>
        <v>50</v>
      </c>
      <c r="C214" s="29" t="str">
        <f>IF((E214&amp;D214)="","",_xlfn.CONCAT("/* ",B214," */","        ","""",D214,"""",","))</f>
        <v/>
      </c>
      <c r="D214" s="34" t="str">
        <f>IF(C52="","",C52)</f>
        <v/>
      </c>
      <c r="E214" s="35" t="str">
        <f>IF(D52="","",D52)</f>
        <v/>
      </c>
      <c r="F214" s="35" t="str">
        <f>IF(E52="","",E52)</f>
        <v/>
      </c>
      <c r="G214" s="36" t="str">
        <f>IF(F52="","",F52)</f>
        <v/>
      </c>
      <c r="H214" s="36" t="str">
        <f>IF(G52="","",G52)</f>
        <v/>
      </c>
      <c r="I214" s="35" t="str">
        <f>IF(H52="","",H52)</f>
        <v/>
      </c>
      <c r="J214" s="35" t="str">
        <f>IF(I52="","",I52)</f>
        <v/>
      </c>
      <c r="K214" s="36" t="str">
        <f>IF(J52="","",J52)</f>
        <v/>
      </c>
      <c r="L214" s="36" t="str">
        <f>IF(K52="","",K52)</f>
        <v/>
      </c>
    </row>
    <row r="215" spans="2:12" ht="26.25" hidden="1" x14ac:dyDescent="0.4">
      <c r="B215" s="29">
        <f t="shared" si="2"/>
        <v>51</v>
      </c>
      <c r="C215" s="29" t="str">
        <f>IF((E215&amp;D215)="","",_xlfn.CONCAT("/* ",B215," */","        ","""",D215,"""",","))</f>
        <v/>
      </c>
      <c r="D215" s="30" t="str">
        <f>IF(C53="","",C53)</f>
        <v/>
      </c>
      <c r="E215" s="33" t="str">
        <f>IF(D53="","",D53)</f>
        <v/>
      </c>
      <c r="F215" s="33" t="str">
        <f>IF(E53="","",E53)</f>
        <v/>
      </c>
      <c r="G215" s="32" t="str">
        <f>IF(F53="","",F53)</f>
        <v/>
      </c>
      <c r="H215" s="32" t="str">
        <f>IF(G53="","",G53)</f>
        <v/>
      </c>
      <c r="I215" s="33" t="str">
        <f>IF(H53="","",H53)</f>
        <v/>
      </c>
      <c r="J215" s="33" t="str">
        <f>IF(I53="","",I53)</f>
        <v/>
      </c>
      <c r="K215" s="32" t="str">
        <f>IF(J53="","",J53)</f>
        <v/>
      </c>
      <c r="L215" s="32" t="str">
        <f>IF(K53="","",K53)</f>
        <v/>
      </c>
    </row>
    <row r="216" spans="2:12" ht="26.25" hidden="1" x14ac:dyDescent="0.4">
      <c r="B216" s="29">
        <f t="shared" si="2"/>
        <v>52</v>
      </c>
      <c r="C216" s="29" t="str">
        <f>IF((E216&amp;D216)="","",_xlfn.CONCAT("/* ",B216," */","        ","""",D216,"""",","))</f>
        <v/>
      </c>
      <c r="D216" s="34" t="str">
        <f>IF(C54="","",C54)</f>
        <v/>
      </c>
      <c r="E216" s="35" t="str">
        <f>IF(D54="","",D54)</f>
        <v/>
      </c>
      <c r="F216" s="35" t="str">
        <f>IF(E54="","",E54)</f>
        <v/>
      </c>
      <c r="G216" s="36" t="str">
        <f>IF(F54="","",F54)</f>
        <v/>
      </c>
      <c r="H216" s="36" t="str">
        <f>IF(G54="","",G54)</f>
        <v/>
      </c>
      <c r="I216" s="35" t="str">
        <f>IF(H54="","",H54)</f>
        <v/>
      </c>
      <c r="J216" s="35" t="str">
        <f>IF(I54="","",I54)</f>
        <v/>
      </c>
      <c r="K216" s="36" t="str">
        <f>IF(J54="","",J54)</f>
        <v/>
      </c>
      <c r="L216" s="36" t="str">
        <f>IF(K54="","",K54)</f>
        <v/>
      </c>
    </row>
    <row r="217" spans="2:12" ht="26.25" hidden="1" x14ac:dyDescent="0.4">
      <c r="B217" s="29">
        <f t="shared" si="2"/>
        <v>53</v>
      </c>
      <c r="C217" s="29" t="str">
        <f>IF((E217&amp;D217)="","",_xlfn.CONCAT("/* ",B217," */","        ","""",D217,"""",","))</f>
        <v/>
      </c>
      <c r="D217" s="30" t="str">
        <f>IF(C55="","",C55)</f>
        <v/>
      </c>
      <c r="E217" s="33" t="str">
        <f>IF(D55="","",D55)</f>
        <v/>
      </c>
      <c r="F217" s="33" t="str">
        <f>IF(E55="","",E55)</f>
        <v/>
      </c>
      <c r="G217" s="32" t="str">
        <f>IF(F55="","",F55)</f>
        <v/>
      </c>
      <c r="H217" s="32" t="str">
        <f>IF(G55="","",G55)</f>
        <v/>
      </c>
      <c r="I217" s="33" t="str">
        <f>IF(H55="","",H55)</f>
        <v/>
      </c>
      <c r="J217" s="33" t="str">
        <f>IF(I55="","",I55)</f>
        <v/>
      </c>
      <c r="K217" s="32" t="str">
        <f>IF(J55="","",J55)</f>
        <v/>
      </c>
      <c r="L217" s="32" t="str">
        <f>IF(K55="","",K55)</f>
        <v/>
      </c>
    </row>
    <row r="218" spans="2:12" ht="26.25" hidden="1" x14ac:dyDescent="0.4">
      <c r="B218" s="29">
        <f t="shared" si="2"/>
        <v>54</v>
      </c>
      <c r="C218" s="29" t="str">
        <f>IF((E218&amp;D218)="","",_xlfn.CONCAT("/* ",B218," */","        ","""",D218,"""",","))</f>
        <v/>
      </c>
      <c r="D218" s="34" t="str">
        <f>IF(C56="","",C56)</f>
        <v/>
      </c>
      <c r="E218" s="35" t="str">
        <f>IF(D56="","",D56)</f>
        <v/>
      </c>
      <c r="F218" s="35" t="str">
        <f>IF(E56="","",E56)</f>
        <v/>
      </c>
      <c r="G218" s="36" t="str">
        <f>IF(F56="","",F56)</f>
        <v/>
      </c>
      <c r="H218" s="36" t="str">
        <f>IF(G56="","",G56)</f>
        <v/>
      </c>
      <c r="I218" s="35" t="str">
        <f>IF(H56="","",H56)</f>
        <v/>
      </c>
      <c r="J218" s="35" t="str">
        <f>IF(I56="","",I56)</f>
        <v/>
      </c>
      <c r="K218" s="36" t="str">
        <f>IF(J56="","",J56)</f>
        <v/>
      </c>
      <c r="L218" s="36" t="str">
        <f>IF(K56="","",K56)</f>
        <v/>
      </c>
    </row>
    <row r="219" spans="2:12" ht="26.25" hidden="1" x14ac:dyDescent="0.4">
      <c r="B219" s="29">
        <f t="shared" si="2"/>
        <v>55</v>
      </c>
      <c r="C219" s="29" t="str">
        <f>IF((E219&amp;D219)="","",_xlfn.CONCAT("/* ",B219," */","        ","""",D219,"""",","))</f>
        <v/>
      </c>
      <c r="D219" s="30" t="str">
        <f>IF(C57="","",C57)</f>
        <v/>
      </c>
      <c r="E219" s="33" t="str">
        <f>IF(D57="","",D57)</f>
        <v/>
      </c>
      <c r="F219" s="33" t="str">
        <f>IF(E57="","",E57)</f>
        <v/>
      </c>
      <c r="G219" s="32" t="str">
        <f>IF(F57="","",F57)</f>
        <v/>
      </c>
      <c r="H219" s="32" t="str">
        <f>IF(G57="","",G57)</f>
        <v/>
      </c>
      <c r="I219" s="33" t="str">
        <f>IF(H57="","",H57)</f>
        <v/>
      </c>
      <c r="J219" s="33" t="str">
        <f>IF(I57="","",I57)</f>
        <v/>
      </c>
      <c r="K219" s="32" t="str">
        <f>IF(J57="","",J57)</f>
        <v/>
      </c>
      <c r="L219" s="32" t="str">
        <f>IF(K57="","",K57)</f>
        <v/>
      </c>
    </row>
    <row r="220" spans="2:12" ht="26.25" hidden="1" x14ac:dyDescent="0.4">
      <c r="B220" s="29">
        <f t="shared" si="2"/>
        <v>56</v>
      </c>
      <c r="C220" s="29" t="str">
        <f>IF((E220&amp;D220)="","",_xlfn.CONCAT("/* ",B220," */","        ","""",D220,"""",","))</f>
        <v/>
      </c>
      <c r="D220" s="34" t="str">
        <f>IF(C58="","",C58)</f>
        <v/>
      </c>
      <c r="E220" s="35" t="str">
        <f>IF(D58="","",D58)</f>
        <v/>
      </c>
      <c r="F220" s="35" t="str">
        <f>IF(E58="","",E58)</f>
        <v/>
      </c>
      <c r="G220" s="36" t="str">
        <f>IF(F58="","",F58)</f>
        <v/>
      </c>
      <c r="H220" s="36" t="str">
        <f>IF(G58="","",G58)</f>
        <v/>
      </c>
      <c r="I220" s="35" t="str">
        <f>IF(H58="","",H58)</f>
        <v/>
      </c>
      <c r="J220" s="35" t="str">
        <f>IF(I58="","",I58)</f>
        <v/>
      </c>
      <c r="K220" s="36" t="str">
        <f>IF(J58="","",J58)</f>
        <v/>
      </c>
      <c r="L220" s="36" t="str">
        <f>IF(K58="","",K58)</f>
        <v/>
      </c>
    </row>
    <row r="221" spans="2:12" ht="26.25" hidden="1" x14ac:dyDescent="0.4">
      <c r="B221" s="29">
        <f t="shared" si="2"/>
        <v>57</v>
      </c>
      <c r="C221" s="29" t="str">
        <f>IF((E221&amp;D221)="","",_xlfn.CONCAT("/* ",B221," */","        ","""",D221,"""",","))</f>
        <v/>
      </c>
      <c r="D221" s="30" t="str">
        <f>IF(C59="","",C59)</f>
        <v/>
      </c>
      <c r="E221" s="33" t="str">
        <f>IF(D59="","",D59)</f>
        <v/>
      </c>
      <c r="F221" s="33" t="str">
        <f>IF(E59="","",E59)</f>
        <v/>
      </c>
      <c r="G221" s="32" t="str">
        <f>IF(F59="","",F59)</f>
        <v/>
      </c>
      <c r="H221" s="32" t="str">
        <f>IF(G59="","",G59)</f>
        <v/>
      </c>
      <c r="I221" s="33" t="str">
        <f>IF(H59="","",H59)</f>
        <v/>
      </c>
      <c r="J221" s="33" t="str">
        <f>IF(I59="","",I59)</f>
        <v/>
      </c>
      <c r="K221" s="32" t="str">
        <f>IF(J59="","",J59)</f>
        <v/>
      </c>
      <c r="L221" s="32" t="str">
        <f>IF(K59="","",K59)</f>
        <v/>
      </c>
    </row>
    <row r="222" spans="2:12" ht="26.25" hidden="1" x14ac:dyDescent="0.4">
      <c r="B222" s="29">
        <f t="shared" si="2"/>
        <v>58</v>
      </c>
      <c r="C222" s="29" t="str">
        <f>IF((E222&amp;D222)="","",_xlfn.CONCAT("/* ",B222," */","        ","""",D222,"""",","))</f>
        <v/>
      </c>
      <c r="D222" s="34" t="str">
        <f>IF(C60="","",C60)</f>
        <v/>
      </c>
      <c r="E222" s="35" t="str">
        <f>IF(D60="","",D60)</f>
        <v/>
      </c>
      <c r="F222" s="35" t="str">
        <f>IF(E60="","",E60)</f>
        <v/>
      </c>
      <c r="G222" s="36" t="str">
        <f>IF(F60="","",F60)</f>
        <v/>
      </c>
      <c r="H222" s="36" t="str">
        <f>IF(G60="","",G60)</f>
        <v/>
      </c>
      <c r="I222" s="35" t="str">
        <f>IF(H60="","",H60)</f>
        <v/>
      </c>
      <c r="J222" s="35" t="str">
        <f>IF(I60="","",I60)</f>
        <v/>
      </c>
      <c r="K222" s="36" t="str">
        <f>IF(J60="","",J60)</f>
        <v/>
      </c>
      <c r="L222" s="36" t="str">
        <f>IF(K60="","",K60)</f>
        <v/>
      </c>
    </row>
    <row r="223" spans="2:12" ht="26.25" hidden="1" x14ac:dyDescent="0.4">
      <c r="B223" s="29">
        <f t="shared" si="2"/>
        <v>59</v>
      </c>
      <c r="C223" s="29" t="str">
        <f>IF((E223&amp;D223)="","",_xlfn.CONCAT("/* ",B223," */","        ","""",D223,"""",","))</f>
        <v/>
      </c>
      <c r="D223" s="30" t="str">
        <f>IF(C61="","",C61)</f>
        <v/>
      </c>
      <c r="E223" s="33" t="str">
        <f>IF(D61="","",D61)</f>
        <v/>
      </c>
      <c r="F223" s="33" t="str">
        <f>IF(E61="","",E61)</f>
        <v/>
      </c>
      <c r="G223" s="32" t="str">
        <f>IF(F61="","",F61)</f>
        <v/>
      </c>
      <c r="H223" s="32" t="str">
        <f>IF(G61="","",G61)</f>
        <v/>
      </c>
      <c r="I223" s="33" t="str">
        <f>IF(H61="","",H61)</f>
        <v/>
      </c>
      <c r="J223" s="33" t="str">
        <f>IF(I61="","",I61)</f>
        <v/>
      </c>
      <c r="K223" s="32" t="str">
        <f>IF(J61="","",J61)</f>
        <v/>
      </c>
      <c r="L223" s="32" t="str">
        <f>IF(K61="","",K61)</f>
        <v/>
      </c>
    </row>
    <row r="224" spans="2:12" ht="26.25" hidden="1" x14ac:dyDescent="0.4">
      <c r="B224" s="29">
        <f t="shared" si="2"/>
        <v>60</v>
      </c>
      <c r="C224" s="29" t="str">
        <f>IF((E224&amp;D224)="","",_xlfn.CONCAT("/* ",B224," */","        ","""",D224,"""",","))</f>
        <v/>
      </c>
      <c r="D224" s="34" t="str">
        <f>IF(C62="","",C62)</f>
        <v/>
      </c>
      <c r="E224" s="35" t="str">
        <f>IF(D62="","",D62)</f>
        <v/>
      </c>
      <c r="F224" s="35" t="str">
        <f>IF(E62="","",E62)</f>
        <v/>
      </c>
      <c r="G224" s="36" t="str">
        <f>IF(F62="","",F62)</f>
        <v/>
      </c>
      <c r="H224" s="36" t="str">
        <f>IF(G62="","",G62)</f>
        <v/>
      </c>
      <c r="I224" s="35" t="str">
        <f>IF(H62="","",H62)</f>
        <v/>
      </c>
      <c r="J224" s="35" t="str">
        <f>IF(I62="","",I62)</f>
        <v/>
      </c>
      <c r="K224" s="36" t="str">
        <f>IF(J62="","",J62)</f>
        <v/>
      </c>
      <c r="L224" s="36" t="str">
        <f>IF(K62="","",K62)</f>
        <v/>
      </c>
    </row>
    <row r="225" spans="2:12" ht="26.25" hidden="1" x14ac:dyDescent="0.4">
      <c r="B225" s="29">
        <f t="shared" si="2"/>
        <v>61</v>
      </c>
      <c r="C225" s="29" t="str">
        <f>IF((E225&amp;D225)="","",_xlfn.CONCAT("/* ",B225," */","        ","""",D225,"""",","))</f>
        <v/>
      </c>
      <c r="D225" s="30" t="str">
        <f>IF(C63="","",C63)</f>
        <v/>
      </c>
      <c r="E225" s="33" t="str">
        <f>IF(D63="","",D63)</f>
        <v/>
      </c>
      <c r="F225" s="33" t="str">
        <f>IF(E63="","",E63)</f>
        <v/>
      </c>
      <c r="G225" s="32" t="str">
        <f>IF(F63="","",F63)</f>
        <v/>
      </c>
      <c r="H225" s="32" t="str">
        <f>IF(G63="","",G63)</f>
        <v/>
      </c>
      <c r="I225" s="33" t="str">
        <f>IF(H63="","",H63)</f>
        <v/>
      </c>
      <c r="J225" s="33" t="str">
        <f>IF(I63="","",I63)</f>
        <v/>
      </c>
      <c r="K225" s="32" t="str">
        <f>IF(J63="","",J63)</f>
        <v/>
      </c>
      <c r="L225" s="32" t="str">
        <f>IF(K63="","",K63)</f>
        <v/>
      </c>
    </row>
    <row r="226" spans="2:12" ht="26.25" hidden="1" x14ac:dyDescent="0.4">
      <c r="B226" s="29">
        <f t="shared" si="2"/>
        <v>62</v>
      </c>
      <c r="C226" s="29" t="str">
        <f>IF((E226&amp;D226)="","",_xlfn.CONCAT("/* ",B226," */","        ","""",D226,"""",","))</f>
        <v/>
      </c>
      <c r="D226" s="34" t="str">
        <f>IF(C64="","",C64)</f>
        <v/>
      </c>
      <c r="E226" s="35" t="str">
        <f>IF(D64="","",D64)</f>
        <v/>
      </c>
      <c r="F226" s="35" t="str">
        <f>IF(E64="","",E64)</f>
        <v/>
      </c>
      <c r="G226" s="36" t="str">
        <f>IF(F64="","",F64)</f>
        <v/>
      </c>
      <c r="H226" s="36" t="str">
        <f>IF(G64="","",G64)</f>
        <v/>
      </c>
      <c r="I226" s="35" t="str">
        <f>IF(H64="","",H64)</f>
        <v/>
      </c>
      <c r="J226" s="35" t="str">
        <f>IF(I64="","",I64)</f>
        <v/>
      </c>
      <c r="K226" s="36" t="str">
        <f>IF(J64="","",J64)</f>
        <v/>
      </c>
      <c r="L226" s="36" t="str">
        <f>IF(K64="","",K64)</f>
        <v/>
      </c>
    </row>
    <row r="227" spans="2:12" ht="26.25" hidden="1" x14ac:dyDescent="0.4">
      <c r="B227" s="29">
        <f t="shared" si="2"/>
        <v>63</v>
      </c>
      <c r="C227" s="29" t="str">
        <f>IF((E227&amp;D227)="","",_xlfn.CONCAT("/* ",B227," */","        ","""",D227,"""",","))</f>
        <v/>
      </c>
      <c r="D227" s="30" t="str">
        <f>IF(C65="","",C65)</f>
        <v/>
      </c>
      <c r="E227" s="33" t="str">
        <f>IF(D65="","",D65)</f>
        <v/>
      </c>
      <c r="F227" s="33" t="str">
        <f>IF(E65="","",E65)</f>
        <v/>
      </c>
      <c r="G227" s="32" t="str">
        <f>IF(F65="","",F65)</f>
        <v/>
      </c>
      <c r="H227" s="32" t="str">
        <f>IF(G65="","",G65)</f>
        <v/>
      </c>
      <c r="I227" s="33" t="str">
        <f>IF(H65="","",H65)</f>
        <v/>
      </c>
      <c r="J227" s="33" t="str">
        <f>IF(I65="","",I65)</f>
        <v/>
      </c>
      <c r="K227" s="32" t="str">
        <f>IF(J65="","",J65)</f>
        <v/>
      </c>
      <c r="L227" s="32" t="str">
        <f>IF(K65="","",K65)</f>
        <v/>
      </c>
    </row>
    <row r="228" spans="2:12" ht="26.25" hidden="1" x14ac:dyDescent="0.4">
      <c r="B228" s="29">
        <f t="shared" si="2"/>
        <v>64</v>
      </c>
      <c r="C228" s="29" t="str">
        <f>IF((E228&amp;D228)="","",_xlfn.CONCAT("/* ",B228," */","        ","""",D228,"""",","))</f>
        <v/>
      </c>
      <c r="D228" s="34" t="str">
        <f>IF(C66="","",C66)</f>
        <v/>
      </c>
      <c r="E228" s="35" t="str">
        <f>IF(D66="","",D66)</f>
        <v/>
      </c>
      <c r="F228" s="35" t="str">
        <f>IF(E66="","",E66)</f>
        <v/>
      </c>
      <c r="G228" s="36" t="str">
        <f>IF(F66="","",F66)</f>
        <v/>
      </c>
      <c r="H228" s="36" t="str">
        <f>IF(G66="","",G66)</f>
        <v/>
      </c>
      <c r="I228" s="35" t="str">
        <f>IF(H66="","",H66)</f>
        <v/>
      </c>
      <c r="J228" s="35" t="str">
        <f>IF(I66="","",I66)</f>
        <v/>
      </c>
      <c r="K228" s="36" t="str">
        <f>IF(J66="","",J66)</f>
        <v/>
      </c>
      <c r="L228" s="36" t="str">
        <f>IF(K66="","",K66)</f>
        <v/>
      </c>
    </row>
    <row r="229" spans="2:12" ht="26.25" hidden="1" x14ac:dyDescent="0.4">
      <c r="B229" s="29">
        <f t="shared" si="2"/>
        <v>65</v>
      </c>
      <c r="C229" s="29" t="str">
        <f>IF((E229&amp;D229)="","",_xlfn.CONCAT("/* ",B229," */","        ","""",D229,"""",","))</f>
        <v/>
      </c>
      <c r="D229" s="30" t="str">
        <f>IF(C67="","",C67)</f>
        <v/>
      </c>
      <c r="E229" s="33" t="str">
        <f>IF(D67="","",D67)</f>
        <v/>
      </c>
      <c r="F229" s="33" t="str">
        <f>IF(E67="","",E67)</f>
        <v/>
      </c>
      <c r="G229" s="32" t="str">
        <f>IF(F67="","",F67)</f>
        <v/>
      </c>
      <c r="H229" s="32" t="str">
        <f>IF(G67="","",G67)</f>
        <v/>
      </c>
      <c r="I229" s="33" t="str">
        <f>IF(H67="","",H67)</f>
        <v/>
      </c>
      <c r="J229" s="33" t="str">
        <f>IF(I67="","",I67)</f>
        <v/>
      </c>
      <c r="K229" s="32" t="str">
        <f>IF(J67="","",J67)</f>
        <v/>
      </c>
      <c r="L229" s="32" t="str">
        <f>IF(K67="","",K67)</f>
        <v/>
      </c>
    </row>
    <row r="230" spans="2:12" ht="26.25" hidden="1" x14ac:dyDescent="0.4">
      <c r="B230" s="29">
        <f t="shared" si="2"/>
        <v>66</v>
      </c>
      <c r="C230" s="29" t="str">
        <f>IF((E230&amp;D230)="","",_xlfn.CONCAT("/* ",B230," */","        ","""",D230,"""",","))</f>
        <v/>
      </c>
      <c r="D230" s="34" t="str">
        <f>IF(C68="","",C68)</f>
        <v/>
      </c>
      <c r="E230" s="35" t="str">
        <f>IF(D68="","",D68)</f>
        <v/>
      </c>
      <c r="F230" s="35" t="str">
        <f>IF(E68="","",E68)</f>
        <v/>
      </c>
      <c r="G230" s="36" t="str">
        <f>IF(F68="","",F68)</f>
        <v/>
      </c>
      <c r="H230" s="36" t="str">
        <f>IF(G68="","",G68)</f>
        <v/>
      </c>
      <c r="I230" s="35" t="str">
        <f>IF(H68="","",H68)</f>
        <v/>
      </c>
      <c r="J230" s="35" t="str">
        <f>IF(I68="","",I68)</f>
        <v/>
      </c>
      <c r="K230" s="36" t="str">
        <f>IF(J68="","",J68)</f>
        <v/>
      </c>
      <c r="L230" s="36" t="str">
        <f>IF(K68="","",K68)</f>
        <v/>
      </c>
    </row>
    <row r="231" spans="2:12" ht="26.25" hidden="1" x14ac:dyDescent="0.4">
      <c r="B231" s="29">
        <f t="shared" ref="B231" si="3">+B230+1</f>
        <v>67</v>
      </c>
      <c r="C231" s="29" t="str">
        <f>IF((E231&amp;D231)="","",_xlfn.CONCAT("/* ",B231," */","        ","""",D231,"""",","))</f>
        <v/>
      </c>
      <c r="D231" s="30" t="str">
        <f>IF(C69="","",C69)</f>
        <v/>
      </c>
      <c r="E231" s="33" t="str">
        <f>IF(D69="","",D69)</f>
        <v/>
      </c>
      <c r="F231" s="33" t="str">
        <f>IF(E69="","",E69)</f>
        <v/>
      </c>
      <c r="G231" s="32" t="str">
        <f>IF(F69="","",F69)</f>
        <v/>
      </c>
      <c r="H231" s="32" t="str">
        <f>IF(G69="","",G69)</f>
        <v/>
      </c>
      <c r="I231" s="33" t="str">
        <f>IF(H69="","",H69)</f>
        <v/>
      </c>
      <c r="J231" s="33" t="str">
        <f>IF(I69="","",I69)</f>
        <v/>
      </c>
      <c r="K231" s="32" t="str">
        <f>IF(J69="","",J69)</f>
        <v/>
      </c>
      <c r="L231" s="32" t="str">
        <f>IF(K69="","",K69)</f>
        <v/>
      </c>
    </row>
    <row r="232" spans="2:12" ht="26.25" hidden="1" x14ac:dyDescent="0.4">
      <c r="B232" s="29">
        <f t="shared" si="2"/>
        <v>68</v>
      </c>
      <c r="C232" s="29" t="str">
        <f>IF((E232&amp;D232)="","",_xlfn.CONCAT("/* ",B232," */","        ","""",D232,"""",","))</f>
        <v/>
      </c>
      <c r="D232" s="34" t="str">
        <f>IF(C70="","",C70)</f>
        <v/>
      </c>
      <c r="E232" s="35" t="str">
        <f>IF(D70="","",D70)</f>
        <v/>
      </c>
      <c r="F232" s="35" t="str">
        <f>IF(E70="","",E70)</f>
        <v/>
      </c>
      <c r="G232" s="36" t="str">
        <f>IF(F70="","",F70)</f>
        <v/>
      </c>
      <c r="H232" s="36" t="str">
        <f>IF(G70="","",G70)</f>
        <v/>
      </c>
      <c r="I232" s="35" t="str">
        <f>IF(H70="","",H70)</f>
        <v/>
      </c>
      <c r="J232" s="35" t="str">
        <f>IF(I70="","",I70)</f>
        <v/>
      </c>
      <c r="K232" s="36" t="str">
        <f>IF(J70="","",J70)</f>
        <v/>
      </c>
      <c r="L232" s="36" t="str">
        <f>IF(K70="","",K70)</f>
        <v/>
      </c>
    </row>
    <row r="233" spans="2:12" ht="26.25" hidden="1" x14ac:dyDescent="0.4">
      <c r="B233" s="29">
        <f t="shared" ref="B233" si="4">+B232+1</f>
        <v>69</v>
      </c>
      <c r="C233" s="29" t="str">
        <f>IF((E233&amp;D233)="","",_xlfn.CONCAT("/* ",B233," */","        ","""",D233,"""",","))</f>
        <v/>
      </c>
      <c r="D233" s="30" t="str">
        <f>IF(C71="","",C71)</f>
        <v/>
      </c>
      <c r="E233" s="33" t="str">
        <f>IF(D71="","",D71)</f>
        <v/>
      </c>
      <c r="F233" s="33" t="str">
        <f>IF(E71="","",E71)</f>
        <v/>
      </c>
      <c r="G233" s="32" t="str">
        <f>IF(F71="","",F71)</f>
        <v/>
      </c>
      <c r="H233" s="32" t="str">
        <f>IF(G71="","",G71)</f>
        <v/>
      </c>
      <c r="I233" s="33" t="str">
        <f>IF(H71="","",H71)</f>
        <v/>
      </c>
      <c r="J233" s="33" t="str">
        <f>IF(I71="","",I71)</f>
        <v/>
      </c>
      <c r="K233" s="32" t="str">
        <f>IF(J71="","",J71)</f>
        <v/>
      </c>
      <c r="L233" s="32" t="str">
        <f>IF(K71="","",K71)</f>
        <v/>
      </c>
    </row>
    <row r="234" spans="2:12" ht="26.25" hidden="1" x14ac:dyDescent="0.4">
      <c r="B234" s="29">
        <f t="shared" si="2"/>
        <v>70</v>
      </c>
      <c r="C234" s="29" t="str">
        <f>IF((E234&amp;D234)="","",_xlfn.CONCAT("/* ",B234," */","        ","""",D234,"""",","))</f>
        <v/>
      </c>
      <c r="D234" s="34" t="str">
        <f>IF(C72="","",C72)</f>
        <v/>
      </c>
      <c r="E234" s="35" t="str">
        <f>IF(D72="","",D72)</f>
        <v/>
      </c>
      <c r="F234" s="35" t="str">
        <f>IF(E72="","",E72)</f>
        <v/>
      </c>
      <c r="G234" s="36" t="str">
        <f>IF(F72="","",F72)</f>
        <v/>
      </c>
      <c r="H234" s="36" t="str">
        <f>IF(G72="","",G72)</f>
        <v/>
      </c>
      <c r="I234" s="35" t="str">
        <f>IF(H72="","",H72)</f>
        <v/>
      </c>
      <c r="J234" s="35" t="str">
        <f>IF(I72="","",I72)</f>
        <v/>
      </c>
      <c r="K234" s="36" t="str">
        <f>IF(J72="","",J72)</f>
        <v/>
      </c>
      <c r="L234" s="36" t="str">
        <f>IF(K72="","",K72)</f>
        <v/>
      </c>
    </row>
    <row r="235" spans="2:12" ht="26.25" hidden="1" x14ac:dyDescent="0.4">
      <c r="B235" s="29">
        <f t="shared" ref="B235" si="5">+B234+1</f>
        <v>71</v>
      </c>
      <c r="C235" s="29" t="str">
        <f>IF((E235&amp;D235)="","",_xlfn.CONCAT("/* ",B235," */","        ","""",D235,"""",","))</f>
        <v/>
      </c>
      <c r="D235" s="30" t="str">
        <f>IF(C73="","",C73)</f>
        <v/>
      </c>
      <c r="E235" s="33" t="str">
        <f>IF(D73="","",D73)</f>
        <v/>
      </c>
      <c r="F235" s="33" t="str">
        <f>IF(E73="","",E73)</f>
        <v/>
      </c>
      <c r="G235" s="32" t="str">
        <f>IF(F73="","",F73)</f>
        <v/>
      </c>
      <c r="H235" s="32" t="str">
        <f>IF(G73="","",G73)</f>
        <v/>
      </c>
      <c r="I235" s="33" t="str">
        <f>IF(H73="","",H73)</f>
        <v/>
      </c>
      <c r="J235" s="33" t="str">
        <f>IF(I73="","",I73)</f>
        <v/>
      </c>
      <c r="K235" s="32" t="str">
        <f>IF(J73="","",J73)</f>
        <v/>
      </c>
      <c r="L235" s="32" t="str">
        <f>IF(K73="","",K73)</f>
        <v/>
      </c>
    </row>
    <row r="236" spans="2:12" ht="26.25" hidden="1" x14ac:dyDescent="0.4">
      <c r="B236" s="29">
        <f t="shared" si="2"/>
        <v>72</v>
      </c>
      <c r="C236" s="29" t="str">
        <f>IF((E236&amp;D236)="","",_xlfn.CONCAT("/* ",B236," */","        ","""",D236,"""",","))</f>
        <v/>
      </c>
      <c r="D236" s="34" t="str">
        <f>IF(C74="","",C74)</f>
        <v/>
      </c>
      <c r="E236" s="35" t="str">
        <f>IF(D74="","",D74)</f>
        <v/>
      </c>
      <c r="F236" s="35" t="str">
        <f>IF(E74="","",E74)</f>
        <v/>
      </c>
      <c r="G236" s="36" t="str">
        <f>IF(F74="","",F74)</f>
        <v/>
      </c>
      <c r="H236" s="36" t="str">
        <f>IF(G74="","",G74)</f>
        <v/>
      </c>
      <c r="I236" s="35" t="str">
        <f>IF(H74="","",H74)</f>
        <v/>
      </c>
      <c r="J236" s="35" t="str">
        <f>IF(I74="","",I74)</f>
        <v/>
      </c>
      <c r="K236" s="36" t="str">
        <f>IF(J74="","",J74)</f>
        <v/>
      </c>
      <c r="L236" s="36" t="str">
        <f>IF(K74="","",K74)</f>
        <v/>
      </c>
    </row>
    <row r="237" spans="2:12" ht="26.25" hidden="1" x14ac:dyDescent="0.4">
      <c r="B237" s="29">
        <f t="shared" ref="B237" si="6">+B236+1</f>
        <v>73</v>
      </c>
      <c r="C237" s="29" t="str">
        <f>IF((E237&amp;D237)="","",_xlfn.CONCAT("/* ",B237," */","        ","""",D237,"""",","))</f>
        <v/>
      </c>
      <c r="D237" s="30" t="str">
        <f>IF(C75="","",C75)</f>
        <v/>
      </c>
      <c r="E237" s="33" t="str">
        <f>IF(D75="","",D75)</f>
        <v/>
      </c>
      <c r="F237" s="33" t="str">
        <f>IF(E75="","",E75)</f>
        <v/>
      </c>
      <c r="G237" s="32" t="str">
        <f>IF(F75="","",F75)</f>
        <v/>
      </c>
      <c r="H237" s="32" t="str">
        <f>IF(G75="","",G75)</f>
        <v/>
      </c>
      <c r="I237" s="33" t="str">
        <f>IF(H75="","",H75)</f>
        <v/>
      </c>
      <c r="J237" s="33" t="str">
        <f>IF(I75="","",I75)</f>
        <v/>
      </c>
      <c r="K237" s="32" t="str">
        <f>IF(J75="","",J75)</f>
        <v/>
      </c>
      <c r="L237" s="32" t="str">
        <f>IF(K75="","",K75)</f>
        <v/>
      </c>
    </row>
    <row r="238" spans="2:12" ht="26.25" hidden="1" x14ac:dyDescent="0.4">
      <c r="B238" s="29">
        <f t="shared" si="2"/>
        <v>74</v>
      </c>
      <c r="C238" s="29" t="str">
        <f>IF((E238&amp;D238)="","",_xlfn.CONCAT("/* ",B238," */","        ","""",D238,"""",","))</f>
        <v/>
      </c>
      <c r="D238" s="34" t="str">
        <f>IF(C76="","",C76)</f>
        <v/>
      </c>
      <c r="E238" s="35" t="str">
        <f>IF(D76="","",D76)</f>
        <v/>
      </c>
      <c r="F238" s="35" t="str">
        <f>IF(E76="","",E76)</f>
        <v/>
      </c>
      <c r="G238" s="36" t="str">
        <f>IF(F76="","",F76)</f>
        <v/>
      </c>
      <c r="H238" s="36" t="str">
        <f>IF(G76="","",G76)</f>
        <v/>
      </c>
      <c r="I238" s="35" t="str">
        <f>IF(H76="","",H76)</f>
        <v/>
      </c>
      <c r="J238" s="35" t="str">
        <f>IF(I76="","",I76)</f>
        <v/>
      </c>
      <c r="K238" s="36" t="str">
        <f>IF(J76="","",J76)</f>
        <v/>
      </c>
      <c r="L238" s="36" t="str">
        <f>IF(K76="","",K76)</f>
        <v/>
      </c>
    </row>
    <row r="239" spans="2:12" ht="26.25" hidden="1" x14ac:dyDescent="0.4">
      <c r="B239" s="29">
        <f t="shared" ref="B239" si="7">+B238+1</f>
        <v>75</v>
      </c>
      <c r="C239" s="29" t="str">
        <f>IF((E239&amp;D239)="","",_xlfn.CONCAT("/* ",B239," */","        ","""",D239,"""",","))</f>
        <v/>
      </c>
      <c r="D239" s="30" t="str">
        <f>IF(C77="","",C77)</f>
        <v/>
      </c>
      <c r="E239" s="33" t="str">
        <f>IF(D77="","",D77)</f>
        <v/>
      </c>
      <c r="F239" s="33" t="str">
        <f>IF(E77="","",E77)</f>
        <v/>
      </c>
      <c r="G239" s="32" t="str">
        <f>IF(F77="","",F77)</f>
        <v/>
      </c>
      <c r="H239" s="32" t="str">
        <f>IF(G77="","",G77)</f>
        <v/>
      </c>
      <c r="I239" s="33" t="str">
        <f>IF(H77="","",H77)</f>
        <v/>
      </c>
      <c r="J239" s="33" t="str">
        <f>IF(I77="","",I77)</f>
        <v/>
      </c>
      <c r="K239" s="32" t="str">
        <f>IF(J77="","",J77)</f>
        <v/>
      </c>
      <c r="L239" s="32" t="str">
        <f>IF(K77="","",K77)</f>
        <v/>
      </c>
    </row>
    <row r="240" spans="2:12" ht="26.25" hidden="1" x14ac:dyDescent="0.4">
      <c r="B240" s="29">
        <f t="shared" si="2"/>
        <v>76</v>
      </c>
      <c r="C240" s="29" t="str">
        <f>IF((E240&amp;D240)="","",_xlfn.CONCAT("/* ",B240," */","        ","""",D240,"""",","))</f>
        <v/>
      </c>
      <c r="D240" s="34" t="str">
        <f>IF(C78="","",C78)</f>
        <v/>
      </c>
      <c r="E240" s="35" t="str">
        <f>IF(D78="","",D78)</f>
        <v/>
      </c>
      <c r="F240" s="35" t="str">
        <f>IF(E78="","",E78)</f>
        <v/>
      </c>
      <c r="G240" s="36" t="str">
        <f>IF(F78="","",F78)</f>
        <v/>
      </c>
      <c r="H240" s="36" t="str">
        <f>IF(G78="","",G78)</f>
        <v/>
      </c>
      <c r="I240" s="35" t="str">
        <f>IF(H78="","",H78)</f>
        <v/>
      </c>
      <c r="J240" s="35" t="str">
        <f>IF(I78="","",I78)</f>
        <v/>
      </c>
      <c r="K240" s="36" t="str">
        <f>IF(J78="","",J78)</f>
        <v/>
      </c>
      <c r="L240" s="36" t="str">
        <f>IF(K78="","",K78)</f>
        <v/>
      </c>
    </row>
    <row r="241" spans="2:12" ht="26.25" hidden="1" x14ac:dyDescent="0.4">
      <c r="B241" s="29">
        <f t="shared" ref="B241:B265" si="8">+B240+1</f>
        <v>77</v>
      </c>
      <c r="C241" s="29" t="str">
        <f>IF((E241&amp;D241)="","",_xlfn.CONCAT("/* ",B241," */","        ","""",D241,"""",","))</f>
        <v/>
      </c>
      <c r="D241" s="30" t="str">
        <f>IF(C79="","",C79)</f>
        <v/>
      </c>
      <c r="E241" s="33" t="str">
        <f>IF(D79="","",D79)</f>
        <v/>
      </c>
      <c r="F241" s="33" t="str">
        <f>IF(E79="","",E79)</f>
        <v/>
      </c>
      <c r="G241" s="32" t="str">
        <f>IF(F79="","",F79)</f>
        <v/>
      </c>
      <c r="H241" s="32" t="str">
        <f>IF(G79="","",G79)</f>
        <v/>
      </c>
      <c r="I241" s="33" t="str">
        <f>IF(H79="","",H79)</f>
        <v/>
      </c>
      <c r="J241" s="33" t="str">
        <f>IF(I79="","",I79)</f>
        <v/>
      </c>
      <c r="K241" s="32" t="str">
        <f>IF(J79="","",J79)</f>
        <v/>
      </c>
      <c r="L241" s="32" t="str">
        <f>IF(K79="","",K79)</f>
        <v/>
      </c>
    </row>
    <row r="242" spans="2:12" ht="26.25" hidden="1" x14ac:dyDescent="0.4">
      <c r="B242" s="29">
        <f t="shared" si="2"/>
        <v>78</v>
      </c>
      <c r="C242" s="29" t="str">
        <f>IF((E242&amp;D242)="","",_xlfn.CONCAT("/* ",B242," */","        ","""",D242,"""",","))</f>
        <v/>
      </c>
      <c r="D242" s="34" t="str">
        <f>IF(C80="","",C80)</f>
        <v/>
      </c>
      <c r="E242" s="35" t="str">
        <f>IF(D80="","",D80)</f>
        <v/>
      </c>
      <c r="F242" s="35" t="str">
        <f>IF(E80="","",E80)</f>
        <v/>
      </c>
      <c r="G242" s="36" t="str">
        <f>IF(F80="","",F80)</f>
        <v/>
      </c>
      <c r="H242" s="36" t="str">
        <f>IF(G80="","",G80)</f>
        <v/>
      </c>
      <c r="I242" s="35" t="str">
        <f>IF(H80="","",H80)</f>
        <v/>
      </c>
      <c r="J242" s="35" t="str">
        <f>IF(I80="","",I80)</f>
        <v/>
      </c>
      <c r="K242" s="36" t="str">
        <f>IF(J80="","",J80)</f>
        <v/>
      </c>
      <c r="L242" s="36" t="str">
        <f>IF(K80="","",K80)</f>
        <v/>
      </c>
    </row>
    <row r="243" spans="2:12" ht="26.25" hidden="1" x14ac:dyDescent="0.4">
      <c r="B243" s="29">
        <f t="shared" si="8"/>
        <v>79</v>
      </c>
      <c r="C243" s="29" t="str">
        <f>IF((E243&amp;D243)="","",_xlfn.CONCAT("/* ",B243," */","        ","""",D243,"""",","))</f>
        <v/>
      </c>
      <c r="D243" s="30" t="str">
        <f>IF(C81="","",C81)</f>
        <v/>
      </c>
      <c r="E243" s="33" t="str">
        <f>IF(D81="","",D81)</f>
        <v/>
      </c>
      <c r="F243" s="33" t="str">
        <f>IF(E81="","",E81)</f>
        <v/>
      </c>
      <c r="G243" s="32" t="str">
        <f>IF(F81="","",F81)</f>
        <v/>
      </c>
      <c r="H243" s="32" t="str">
        <f>IF(G81="","",G81)</f>
        <v/>
      </c>
      <c r="I243" s="33" t="str">
        <f>IF(H81="","",H81)</f>
        <v/>
      </c>
      <c r="J243" s="33" t="str">
        <f>IF(I81="","",I81)</f>
        <v/>
      </c>
      <c r="K243" s="32" t="str">
        <f>IF(J81="","",J81)</f>
        <v/>
      </c>
      <c r="L243" s="32" t="str">
        <f>IF(K81="","",K81)</f>
        <v/>
      </c>
    </row>
    <row r="244" spans="2:12" ht="26.25" hidden="1" x14ac:dyDescent="0.4">
      <c r="B244" s="29">
        <f t="shared" si="2"/>
        <v>80</v>
      </c>
      <c r="C244" s="29" t="str">
        <f>IF((E244&amp;D244)="","",_xlfn.CONCAT("/* ",B244," */","        ","""",D244,"""",","))</f>
        <v/>
      </c>
      <c r="D244" s="34" t="str">
        <f>IF(C82="","",C82)</f>
        <v/>
      </c>
      <c r="E244" s="35" t="str">
        <f>IF(D82="","",D82)</f>
        <v/>
      </c>
      <c r="F244" s="35" t="str">
        <f>IF(E82="","",E82)</f>
        <v/>
      </c>
      <c r="G244" s="36" t="str">
        <f>IF(F82="","",F82)</f>
        <v/>
      </c>
      <c r="H244" s="36" t="str">
        <f>IF(G82="","",G82)</f>
        <v/>
      </c>
      <c r="I244" s="35" t="str">
        <f>IF(H82="","",H82)</f>
        <v/>
      </c>
      <c r="J244" s="35" t="str">
        <f>IF(I82="","",I82)</f>
        <v/>
      </c>
      <c r="K244" s="36" t="str">
        <f>IF(J82="","",J82)</f>
        <v/>
      </c>
      <c r="L244" s="36" t="str">
        <f>IF(K82="","",K82)</f>
        <v/>
      </c>
    </row>
    <row r="245" spans="2:12" ht="26.25" hidden="1" x14ac:dyDescent="0.4">
      <c r="B245" s="29">
        <f t="shared" si="8"/>
        <v>81</v>
      </c>
      <c r="C245" s="29" t="str">
        <f>IF((E245&amp;D245)="","",_xlfn.CONCAT("/* ",B245," */","        ","""",D245,"""",","))</f>
        <v/>
      </c>
      <c r="D245" s="30" t="str">
        <f>IF(C83="","",C83)</f>
        <v/>
      </c>
      <c r="E245" s="33" t="str">
        <f>IF(D83="","",D83)</f>
        <v/>
      </c>
      <c r="F245" s="33" t="str">
        <f>IF(E83="","",E83)</f>
        <v/>
      </c>
      <c r="G245" s="32" t="str">
        <f>IF(F83="","",F83)</f>
        <v/>
      </c>
      <c r="H245" s="32" t="str">
        <f>IF(G83="","",G83)</f>
        <v/>
      </c>
      <c r="I245" s="33" t="str">
        <f>IF(H83="","",H83)</f>
        <v/>
      </c>
      <c r="J245" s="33" t="str">
        <f>IF(I83="","",I83)</f>
        <v/>
      </c>
      <c r="K245" s="32" t="str">
        <f>IF(J83="","",J83)</f>
        <v/>
      </c>
      <c r="L245" s="32" t="str">
        <f>IF(K83="","",K83)</f>
        <v/>
      </c>
    </row>
    <row r="246" spans="2:12" ht="26.25" hidden="1" x14ac:dyDescent="0.4">
      <c r="B246" s="29">
        <f t="shared" si="2"/>
        <v>82</v>
      </c>
      <c r="C246" s="29" t="str">
        <f>IF((E246&amp;D246)="","",_xlfn.CONCAT("/* ",B246," */","        ","""",D246,"""",","))</f>
        <v/>
      </c>
      <c r="D246" s="34" t="str">
        <f>IF(C84="","",C84)</f>
        <v/>
      </c>
      <c r="E246" s="35" t="str">
        <f>IF(D84="","",D84)</f>
        <v/>
      </c>
      <c r="F246" s="35" t="str">
        <f>IF(E84="","",E84)</f>
        <v/>
      </c>
      <c r="G246" s="36" t="str">
        <f>IF(F84="","",F84)</f>
        <v/>
      </c>
      <c r="H246" s="36" t="str">
        <f>IF(G84="","",G84)</f>
        <v/>
      </c>
      <c r="I246" s="35" t="str">
        <f>IF(H84="","",H84)</f>
        <v/>
      </c>
      <c r="J246" s="35" t="str">
        <f>IF(I84="","",I84)</f>
        <v/>
      </c>
      <c r="K246" s="36" t="str">
        <f>IF(J84="","",J84)</f>
        <v/>
      </c>
      <c r="L246" s="36" t="str">
        <f>IF(K84="","",K84)</f>
        <v/>
      </c>
    </row>
    <row r="247" spans="2:12" ht="26.25" hidden="1" x14ac:dyDescent="0.4">
      <c r="B247" s="29">
        <f t="shared" si="8"/>
        <v>83</v>
      </c>
      <c r="C247" s="29" t="str">
        <f>IF((E247&amp;D247)="","",_xlfn.CONCAT("/* ",B247," */","        ","""",D247,"""",","))</f>
        <v/>
      </c>
      <c r="D247" s="30" t="str">
        <f>IF(C85="","",C85)</f>
        <v/>
      </c>
      <c r="E247" s="33" t="str">
        <f>IF(D85="","",D85)</f>
        <v/>
      </c>
      <c r="F247" s="33" t="str">
        <f>IF(E85="","",E85)</f>
        <v/>
      </c>
      <c r="G247" s="32" t="str">
        <f>IF(F85="","",F85)</f>
        <v/>
      </c>
      <c r="H247" s="32" t="str">
        <f>IF(G85="","",G85)</f>
        <v/>
      </c>
      <c r="I247" s="33" t="str">
        <f>IF(H85="","",H85)</f>
        <v/>
      </c>
      <c r="J247" s="33" t="str">
        <f>IF(I85="","",I85)</f>
        <v/>
      </c>
      <c r="K247" s="32" t="str">
        <f>IF(J85="","",J85)</f>
        <v/>
      </c>
      <c r="L247" s="32" t="str">
        <f>IF(K85="","",K85)</f>
        <v/>
      </c>
    </row>
    <row r="248" spans="2:12" ht="26.25" hidden="1" x14ac:dyDescent="0.4">
      <c r="B248" s="29">
        <f t="shared" si="2"/>
        <v>84</v>
      </c>
      <c r="C248" s="29" t="str">
        <f>IF((E248&amp;D248)="","",_xlfn.CONCAT("/* ",B248," */","        ","""",D248,"""",","))</f>
        <v/>
      </c>
      <c r="D248" s="34" t="str">
        <f>IF(C86="","",C86)</f>
        <v/>
      </c>
      <c r="E248" s="35" t="str">
        <f>IF(D86="","",D86)</f>
        <v/>
      </c>
      <c r="F248" s="35" t="str">
        <f>IF(E86="","",E86)</f>
        <v/>
      </c>
      <c r="G248" s="36" t="str">
        <f>IF(F86="","",F86)</f>
        <v/>
      </c>
      <c r="H248" s="36" t="str">
        <f>IF(G86="","",G86)</f>
        <v/>
      </c>
      <c r="I248" s="35" t="str">
        <f>IF(H86="","",H86)</f>
        <v/>
      </c>
      <c r="J248" s="35" t="str">
        <f>IF(I86="","",I86)</f>
        <v/>
      </c>
      <c r="K248" s="36" t="str">
        <f>IF(J86="","",J86)</f>
        <v/>
      </c>
      <c r="L248" s="36" t="str">
        <f>IF(K86="","",K86)</f>
        <v/>
      </c>
    </row>
    <row r="249" spans="2:12" ht="26.25" hidden="1" x14ac:dyDescent="0.4">
      <c r="B249" s="29">
        <f t="shared" si="8"/>
        <v>85</v>
      </c>
      <c r="C249" s="29" t="str">
        <f>IF((E249&amp;D249)="","",_xlfn.CONCAT("/* ",B249," */","        ","""",D249,"""",","))</f>
        <v/>
      </c>
      <c r="D249" s="30" t="str">
        <f>IF(C87="","",C87)</f>
        <v/>
      </c>
      <c r="E249" s="33" t="str">
        <f>IF(D87="","",D87)</f>
        <v/>
      </c>
      <c r="F249" s="33" t="str">
        <f>IF(E87="","",E87)</f>
        <v/>
      </c>
      <c r="G249" s="32" t="str">
        <f>IF(F87="","",F87)</f>
        <v/>
      </c>
      <c r="H249" s="32" t="str">
        <f>IF(G87="","",G87)</f>
        <v/>
      </c>
      <c r="I249" s="33" t="str">
        <f>IF(H87="","",H87)</f>
        <v/>
      </c>
      <c r="J249" s="33" t="str">
        <f>IF(I87="","",I87)</f>
        <v/>
      </c>
      <c r="K249" s="32" t="str">
        <f>IF(J87="","",J87)</f>
        <v/>
      </c>
      <c r="L249" s="32" t="str">
        <f>IF(K87="","",K87)</f>
        <v/>
      </c>
    </row>
    <row r="250" spans="2:12" ht="26.25" hidden="1" x14ac:dyDescent="0.4">
      <c r="B250" s="29">
        <f t="shared" si="2"/>
        <v>86</v>
      </c>
      <c r="C250" s="29" t="str">
        <f>IF((E250&amp;D250)="","",_xlfn.CONCAT("/* ",B250," */","        ","""",D250,"""",","))</f>
        <v/>
      </c>
      <c r="D250" s="34" t="str">
        <f>IF(C88="","",C88)</f>
        <v/>
      </c>
      <c r="E250" s="35" t="str">
        <f>IF(D88="","",D88)</f>
        <v/>
      </c>
      <c r="F250" s="35" t="str">
        <f>IF(E88="","",E88)</f>
        <v/>
      </c>
      <c r="G250" s="36" t="str">
        <f>IF(F88="","",F88)</f>
        <v/>
      </c>
      <c r="H250" s="36" t="str">
        <f>IF(G88="","",G88)</f>
        <v/>
      </c>
      <c r="I250" s="35" t="str">
        <f>IF(H88="","",H88)</f>
        <v/>
      </c>
      <c r="J250" s="35" t="str">
        <f>IF(I88="","",I88)</f>
        <v/>
      </c>
      <c r="K250" s="36" t="str">
        <f>IF(J88="","",J88)</f>
        <v/>
      </c>
      <c r="L250" s="36" t="str">
        <f>IF(K88="","",K88)</f>
        <v/>
      </c>
    </row>
    <row r="251" spans="2:12" ht="26.25" hidden="1" x14ac:dyDescent="0.4">
      <c r="B251" s="29">
        <f t="shared" si="8"/>
        <v>87</v>
      </c>
      <c r="C251" s="29" t="str">
        <f>IF((E251&amp;D251)="","",_xlfn.CONCAT("/* ",B251," */","        ","""",D251,"""",","))</f>
        <v/>
      </c>
      <c r="D251" s="30" t="str">
        <f>IF(C89="","",C89)</f>
        <v/>
      </c>
      <c r="E251" s="33" t="str">
        <f>IF(D89="","",D89)</f>
        <v/>
      </c>
      <c r="F251" s="33" t="str">
        <f>IF(E89="","",E89)</f>
        <v/>
      </c>
      <c r="G251" s="32" t="str">
        <f>IF(F89="","",F89)</f>
        <v/>
      </c>
      <c r="H251" s="32" t="str">
        <f>IF(G89="","",G89)</f>
        <v/>
      </c>
      <c r="I251" s="33" t="str">
        <f>IF(H89="","",H89)</f>
        <v/>
      </c>
      <c r="J251" s="33" t="str">
        <f>IF(I89="","",I89)</f>
        <v/>
      </c>
      <c r="K251" s="32" t="str">
        <f>IF(J89="","",J89)</f>
        <v/>
      </c>
      <c r="L251" s="32" t="str">
        <f>IF(K89="","",K89)</f>
        <v/>
      </c>
    </row>
    <row r="252" spans="2:12" ht="26.25" hidden="1" x14ac:dyDescent="0.4">
      <c r="B252" s="29">
        <f t="shared" si="2"/>
        <v>88</v>
      </c>
      <c r="C252" s="29" t="str">
        <f>IF((E252&amp;D252)="","",_xlfn.CONCAT("/* ",B252," */","        ","""",D252,"""",","))</f>
        <v/>
      </c>
      <c r="D252" s="34" t="str">
        <f>IF(C90="","",C90)</f>
        <v/>
      </c>
      <c r="E252" s="35" t="str">
        <f>IF(D90="","",D90)</f>
        <v/>
      </c>
      <c r="F252" s="35" t="str">
        <f>IF(E90="","",E90)</f>
        <v/>
      </c>
      <c r="G252" s="36" t="str">
        <f>IF(F90="","",F90)</f>
        <v/>
      </c>
      <c r="H252" s="36" t="str">
        <f>IF(G90="","",G90)</f>
        <v/>
      </c>
      <c r="I252" s="35" t="str">
        <f>IF(H90="","",H90)</f>
        <v/>
      </c>
      <c r="J252" s="35" t="str">
        <f>IF(I90="","",I90)</f>
        <v/>
      </c>
      <c r="K252" s="36" t="str">
        <f>IF(J90="","",J90)</f>
        <v/>
      </c>
      <c r="L252" s="36" t="str">
        <f>IF(K90="","",K90)</f>
        <v/>
      </c>
    </row>
    <row r="253" spans="2:12" ht="26.25" hidden="1" x14ac:dyDescent="0.4">
      <c r="B253" s="29">
        <f t="shared" si="8"/>
        <v>89</v>
      </c>
      <c r="C253" s="29" t="str">
        <f>IF((E253&amp;D253)="","",_xlfn.CONCAT("/* ",B253," */","        ","""",D253,"""",","))</f>
        <v/>
      </c>
      <c r="D253" s="30" t="str">
        <f>IF(C91="","",C91)</f>
        <v/>
      </c>
      <c r="E253" s="33" t="str">
        <f>IF(D91="","",D91)</f>
        <v/>
      </c>
      <c r="F253" s="33" t="str">
        <f>IF(E91="","",E91)</f>
        <v/>
      </c>
      <c r="G253" s="32" t="str">
        <f>IF(F91="","",F91)</f>
        <v/>
      </c>
      <c r="H253" s="32" t="str">
        <f>IF(G91="","",G91)</f>
        <v/>
      </c>
      <c r="I253" s="33" t="str">
        <f>IF(H91="","",H91)</f>
        <v/>
      </c>
      <c r="J253" s="33" t="str">
        <f>IF(I91="","",I91)</f>
        <v/>
      </c>
      <c r="K253" s="32" t="str">
        <f>IF(J91="","",J91)</f>
        <v/>
      </c>
      <c r="L253" s="32" t="str">
        <f>IF(K91="","",K91)</f>
        <v/>
      </c>
    </row>
    <row r="254" spans="2:12" ht="26.25" hidden="1" x14ac:dyDescent="0.4">
      <c r="B254" s="29">
        <f t="shared" si="2"/>
        <v>90</v>
      </c>
      <c r="C254" s="29" t="str">
        <f>IF((E254&amp;D254)="","",_xlfn.CONCAT("/* ",B254," */","        ","""",D254,"""",","))</f>
        <v/>
      </c>
      <c r="D254" s="34" t="str">
        <f>IF(C92="","",C92)</f>
        <v/>
      </c>
      <c r="E254" s="35" t="str">
        <f>IF(D92="","",D92)</f>
        <v/>
      </c>
      <c r="F254" s="35" t="str">
        <f>IF(E92="","",E92)</f>
        <v/>
      </c>
      <c r="G254" s="36" t="str">
        <f>IF(F92="","",F92)</f>
        <v/>
      </c>
      <c r="H254" s="36" t="str">
        <f>IF(G92="","",G92)</f>
        <v/>
      </c>
      <c r="I254" s="35" t="str">
        <f>IF(H92="","",H92)</f>
        <v/>
      </c>
      <c r="J254" s="35" t="str">
        <f>IF(I92="","",I92)</f>
        <v/>
      </c>
      <c r="K254" s="36" t="str">
        <f>IF(J92="","",J92)</f>
        <v/>
      </c>
      <c r="L254" s="36" t="str">
        <f>IF(K92="","",K92)</f>
        <v/>
      </c>
    </row>
    <row r="255" spans="2:12" ht="26.25" hidden="1" x14ac:dyDescent="0.4">
      <c r="B255" s="29">
        <f t="shared" si="8"/>
        <v>91</v>
      </c>
      <c r="C255" s="29" t="str">
        <f>IF((E255&amp;D255)="","",_xlfn.CONCAT("/* ",B255," */","        ","""",D255,"""",","))</f>
        <v/>
      </c>
      <c r="D255" s="30" t="str">
        <f>IF(C93="","",C93)</f>
        <v/>
      </c>
      <c r="E255" s="33" t="str">
        <f>IF(D93="","",D93)</f>
        <v/>
      </c>
      <c r="F255" s="33" t="str">
        <f>IF(E93="","",E93)</f>
        <v/>
      </c>
      <c r="G255" s="32" t="str">
        <f>IF(F93="","",F93)</f>
        <v/>
      </c>
      <c r="H255" s="32" t="str">
        <f>IF(G93="","",G93)</f>
        <v/>
      </c>
      <c r="I255" s="33" t="str">
        <f>IF(H93="","",H93)</f>
        <v/>
      </c>
      <c r="J255" s="33" t="str">
        <f>IF(I93="","",I93)</f>
        <v/>
      </c>
      <c r="K255" s="32" t="str">
        <f>IF(J93="","",J93)</f>
        <v/>
      </c>
      <c r="L255" s="32" t="str">
        <f>IF(K93="","",K93)</f>
        <v/>
      </c>
    </row>
    <row r="256" spans="2:12" ht="26.25" hidden="1" x14ac:dyDescent="0.4">
      <c r="B256" s="29">
        <f t="shared" si="2"/>
        <v>92</v>
      </c>
      <c r="C256" s="29" t="str">
        <f>IF((E256&amp;D256)="","",_xlfn.CONCAT("/* ",B256," */","        ","""",D256,"""",","))</f>
        <v/>
      </c>
      <c r="D256" s="34" t="str">
        <f>IF(C94="","",C94)</f>
        <v/>
      </c>
      <c r="E256" s="35" t="str">
        <f>IF(D94="","",D94)</f>
        <v/>
      </c>
      <c r="F256" s="35" t="str">
        <f>IF(E94="","",E94)</f>
        <v/>
      </c>
      <c r="G256" s="36" t="str">
        <f>IF(F94="","",F94)</f>
        <v/>
      </c>
      <c r="H256" s="36" t="str">
        <f>IF(G94="","",G94)</f>
        <v/>
      </c>
      <c r="I256" s="35" t="str">
        <f>IF(H94="","",H94)</f>
        <v/>
      </c>
      <c r="J256" s="35" t="str">
        <f>IF(I94="","",I94)</f>
        <v/>
      </c>
      <c r="K256" s="36" t="str">
        <f>IF(J94="","",J94)</f>
        <v/>
      </c>
      <c r="L256" s="36" t="str">
        <f>IF(K94="","",K94)</f>
        <v/>
      </c>
    </row>
    <row r="257" spans="1:32" ht="26.25" hidden="1" x14ac:dyDescent="0.4">
      <c r="B257" s="29">
        <f t="shared" si="8"/>
        <v>93</v>
      </c>
      <c r="C257" s="29" t="str">
        <f>IF((E257&amp;D257)="","",_xlfn.CONCAT("/* ",B257," */","        ","""",D257,"""",","))</f>
        <v/>
      </c>
      <c r="D257" s="30" t="str">
        <f>IF(C95="","",C95)</f>
        <v/>
      </c>
      <c r="E257" s="33" t="str">
        <f>IF(D95="","",D95)</f>
        <v/>
      </c>
      <c r="F257" s="33" t="str">
        <f>IF(E95="","",E95)</f>
        <v/>
      </c>
      <c r="G257" s="32" t="str">
        <f>IF(F95="","",F95)</f>
        <v/>
      </c>
      <c r="H257" s="32" t="str">
        <f>IF(G95="","",G95)</f>
        <v/>
      </c>
      <c r="I257" s="33" t="str">
        <f>IF(H95="","",H95)</f>
        <v/>
      </c>
      <c r="J257" s="33" t="str">
        <f>IF(I95="","",I95)</f>
        <v/>
      </c>
      <c r="K257" s="32" t="str">
        <f>IF(J95="","",J95)</f>
        <v/>
      </c>
      <c r="L257" s="32" t="str">
        <f>IF(K95="","",K95)</f>
        <v/>
      </c>
    </row>
    <row r="258" spans="1:32" ht="26.25" hidden="1" x14ac:dyDescent="0.4">
      <c r="B258" s="29">
        <f t="shared" si="2"/>
        <v>94</v>
      </c>
      <c r="C258" s="29" t="str">
        <f>IF((E258&amp;D258)="","",_xlfn.CONCAT("/* ",B258," */","        ","""",D258,"""",","))</f>
        <v/>
      </c>
      <c r="D258" s="34" t="str">
        <f>IF(C96="","",C96)</f>
        <v/>
      </c>
      <c r="E258" s="35" t="str">
        <f>IF(D96="","",D96)</f>
        <v/>
      </c>
      <c r="F258" s="35" t="str">
        <f>IF(E96="","",E96)</f>
        <v/>
      </c>
      <c r="G258" s="36" t="str">
        <f>IF(F96="","",F96)</f>
        <v/>
      </c>
      <c r="H258" s="36" t="str">
        <f>IF(G96="","",G96)</f>
        <v/>
      </c>
      <c r="I258" s="35" t="str">
        <f>IF(H96="","",H96)</f>
        <v/>
      </c>
      <c r="J258" s="35" t="str">
        <f>IF(I96="","",I96)</f>
        <v/>
      </c>
      <c r="K258" s="36" t="str">
        <f>IF(J96="","",J96)</f>
        <v/>
      </c>
      <c r="L258" s="36" t="str">
        <f>IF(K96="","",K96)</f>
        <v/>
      </c>
    </row>
    <row r="259" spans="1:32" ht="26.25" hidden="1" x14ac:dyDescent="0.4">
      <c r="B259" s="29">
        <f t="shared" si="8"/>
        <v>95</v>
      </c>
      <c r="C259" s="29" t="str">
        <f>IF((E259&amp;D259)="","",_xlfn.CONCAT("/* ",B259," */","        ","""",D259,"""",","))</f>
        <v/>
      </c>
      <c r="D259" s="30" t="str">
        <f>IF(C97="","",C97)</f>
        <v/>
      </c>
      <c r="E259" s="33" t="str">
        <f>IF(D97="","",D97)</f>
        <v/>
      </c>
      <c r="F259" s="33" t="str">
        <f>IF(E97="","",E97)</f>
        <v/>
      </c>
      <c r="G259" s="32" t="str">
        <f>IF(F97="","",F97)</f>
        <v/>
      </c>
      <c r="H259" s="32" t="str">
        <f>IF(G97="","",G97)</f>
        <v/>
      </c>
      <c r="I259" s="33" t="str">
        <f>IF(H97="","",H97)</f>
        <v/>
      </c>
      <c r="J259" s="33" t="str">
        <f>IF(I97="","",I97)</f>
        <v/>
      </c>
      <c r="K259" s="32" t="str">
        <f>IF(J97="","",J97)</f>
        <v/>
      </c>
      <c r="L259" s="32" t="str">
        <f>IF(K97="","",K97)</f>
        <v/>
      </c>
    </row>
    <row r="260" spans="1:32" ht="26.25" hidden="1" x14ac:dyDescent="0.4">
      <c r="B260" s="29">
        <f t="shared" si="2"/>
        <v>96</v>
      </c>
      <c r="C260" s="29" t="str">
        <f>IF((E260&amp;D260)="","",_xlfn.CONCAT("/* ",B260," */","        ","""",D260,"""",","))</f>
        <v/>
      </c>
      <c r="D260" s="34" t="str">
        <f>IF(C98="","",C98)</f>
        <v/>
      </c>
      <c r="E260" s="35" t="str">
        <f>IF(D98="","",D98)</f>
        <v/>
      </c>
      <c r="F260" s="35" t="str">
        <f>IF(E98="","",E98)</f>
        <v/>
      </c>
      <c r="G260" s="36" t="str">
        <f>IF(F98="","",F98)</f>
        <v/>
      </c>
      <c r="H260" s="36" t="str">
        <f>IF(G98="","",G98)</f>
        <v/>
      </c>
      <c r="I260" s="35" t="str">
        <f>IF(H98="","",H98)</f>
        <v/>
      </c>
      <c r="J260" s="35" t="str">
        <f>IF(I98="","",I98)</f>
        <v/>
      </c>
      <c r="K260" s="36" t="str">
        <f>IF(J98="","",J98)</f>
        <v/>
      </c>
      <c r="L260" s="36" t="str">
        <f>IF(K98="","",K98)</f>
        <v/>
      </c>
    </row>
    <row r="261" spans="1:32" ht="26.25" hidden="1" x14ac:dyDescent="0.4">
      <c r="B261" s="29">
        <f t="shared" si="8"/>
        <v>97</v>
      </c>
      <c r="C261" s="29" t="str">
        <f>IF((E261&amp;D261)="","",_xlfn.CONCAT("/* ",B261," */","        ","""",D261,"""",","))</f>
        <v/>
      </c>
      <c r="D261" s="30" t="str">
        <f>IF(C99="","",C99)</f>
        <v/>
      </c>
      <c r="E261" s="33" t="str">
        <f>IF(D99="","",D99)</f>
        <v/>
      </c>
      <c r="F261" s="33" t="str">
        <f>IF(E99="","",E99)</f>
        <v/>
      </c>
      <c r="G261" s="32" t="str">
        <f>IF(F99="","",F99)</f>
        <v/>
      </c>
      <c r="H261" s="32" t="str">
        <f>IF(G99="","",G99)</f>
        <v/>
      </c>
      <c r="I261" s="33" t="str">
        <f>IF(H99="","",H99)</f>
        <v/>
      </c>
      <c r="J261" s="33" t="str">
        <f>IF(I99="","",I99)</f>
        <v/>
      </c>
      <c r="K261" s="32" t="str">
        <f>IF(J99="","",J99)</f>
        <v/>
      </c>
      <c r="L261" s="32" t="str">
        <f>IF(K99="","",K99)</f>
        <v/>
      </c>
    </row>
    <row r="262" spans="1:32" ht="26.25" hidden="1" x14ac:dyDescent="0.4">
      <c r="B262" s="29">
        <f t="shared" si="2"/>
        <v>98</v>
      </c>
      <c r="C262" s="29" t="str">
        <f>IF((E262&amp;D262)="","",_xlfn.CONCAT("/* ",B262," */","        ","""",D262,"""",","))</f>
        <v/>
      </c>
      <c r="D262" s="34" t="str">
        <f>IF(C100="","",C100)</f>
        <v/>
      </c>
      <c r="E262" s="35" t="str">
        <f>IF(D100="","",D100)</f>
        <v/>
      </c>
      <c r="F262" s="35" t="str">
        <f>IF(E100="","",E100)</f>
        <v/>
      </c>
      <c r="G262" s="36" t="str">
        <f>IF(F100="","",F100)</f>
        <v/>
      </c>
      <c r="H262" s="36" t="str">
        <f>IF(G100="","",G100)</f>
        <v/>
      </c>
      <c r="I262" s="35" t="str">
        <f>IF(H100="","",H100)</f>
        <v/>
      </c>
      <c r="J262" s="35" t="str">
        <f>IF(I100="","",I100)</f>
        <v/>
      </c>
      <c r="K262" s="36" t="str">
        <f>IF(J100="","",J100)</f>
        <v/>
      </c>
      <c r="L262" s="36" t="str">
        <f>IF(K100="","",K100)</f>
        <v/>
      </c>
    </row>
    <row r="263" spans="1:32" ht="26.25" hidden="1" x14ac:dyDescent="0.4">
      <c r="B263" s="29">
        <f t="shared" si="8"/>
        <v>99</v>
      </c>
      <c r="C263" s="29" t="str">
        <f>IF((E263&amp;D263)="","",_xlfn.CONCAT("/* ",B263," */","        ","""",D263,"""",","))</f>
        <v/>
      </c>
      <c r="D263" s="30" t="str">
        <f>IF(C101="","",C101)</f>
        <v/>
      </c>
      <c r="E263" s="33" t="str">
        <f>IF(D101="","",D101)</f>
        <v/>
      </c>
      <c r="F263" s="33" t="str">
        <f>IF(E101="","",E101)</f>
        <v/>
      </c>
      <c r="G263" s="32" t="str">
        <f>IF(F101="","",F101)</f>
        <v/>
      </c>
      <c r="H263" s="32" t="str">
        <f>IF(G101="","",G101)</f>
        <v/>
      </c>
      <c r="I263" s="33" t="str">
        <f>IF(H101="","",H101)</f>
        <v/>
      </c>
      <c r="J263" s="33" t="str">
        <f>IF(I101="","",I101)</f>
        <v/>
      </c>
      <c r="K263" s="32" t="str">
        <f>IF(J101="","",J101)</f>
        <v/>
      </c>
      <c r="L263" s="32" t="str">
        <f>IF(K101="","",K101)</f>
        <v/>
      </c>
    </row>
    <row r="264" spans="1:32" ht="26.25" hidden="1" x14ac:dyDescent="0.4">
      <c r="B264" s="29">
        <f t="shared" si="2"/>
        <v>100</v>
      </c>
      <c r="C264" s="29" t="str">
        <f>IF((E264&amp;D264)="","",_xlfn.CONCAT("/* ",B264," */","        ","""",D264,"""",","))</f>
        <v/>
      </c>
      <c r="D264" s="34" t="str">
        <f>IF(C102="","",C102)</f>
        <v/>
      </c>
      <c r="E264" s="35" t="str">
        <f>IF(D102="","",D102)</f>
        <v/>
      </c>
      <c r="F264" s="35" t="str">
        <f>IF(E102="","",E102)</f>
        <v/>
      </c>
      <c r="G264" s="36" t="str">
        <f>IF(F102="","",F102)</f>
        <v/>
      </c>
      <c r="H264" s="36" t="str">
        <f>IF(G102="","",G102)</f>
        <v/>
      </c>
      <c r="I264" s="35" t="str">
        <f>IF(H102="","",H102)</f>
        <v/>
      </c>
      <c r="J264" s="35" t="str">
        <f>IF(I102="","",I102)</f>
        <v/>
      </c>
      <c r="K264" s="36" t="str">
        <f>IF(J102="","",J102)</f>
        <v/>
      </c>
      <c r="L264" s="36" t="str">
        <f>IF(K102="","",K102)</f>
        <v/>
      </c>
    </row>
    <row r="265" spans="1:32" ht="26.25" hidden="1" x14ac:dyDescent="0.4">
      <c r="B265" s="29">
        <f t="shared" si="8"/>
        <v>101</v>
      </c>
      <c r="C265" s="29" t="str">
        <f>IF((E265&amp;D265)="","",_xlfn.CONCAT("/* ",B265," */","        ","""",D265,"""",","))</f>
        <v/>
      </c>
      <c r="D265" s="30" t="str">
        <f>IF(C103="","",C103)</f>
        <v/>
      </c>
      <c r="E265" s="33" t="str">
        <f>IF(D103="","",D103)</f>
        <v/>
      </c>
      <c r="F265" s="33" t="str">
        <f>IF(E103="","",E103)</f>
        <v/>
      </c>
      <c r="G265" s="32" t="str">
        <f>IF(F103="","",F103)</f>
        <v/>
      </c>
      <c r="H265" s="32" t="str">
        <f>IF(G103="","",G103)</f>
        <v/>
      </c>
      <c r="I265" s="33" t="str">
        <f>IF(H103="","",H103)</f>
        <v/>
      </c>
      <c r="J265" s="33" t="str">
        <f>IF(I103="","",I103)</f>
        <v/>
      </c>
      <c r="K265" s="32" t="str">
        <f>IF(J103="","",J103)</f>
        <v/>
      </c>
      <c r="L265" s="32" t="str">
        <f>IF(K103="","",K103)</f>
        <v/>
      </c>
    </row>
    <row r="266" spans="1:32" x14ac:dyDescent="0.4">
      <c r="B266" s="78"/>
      <c r="C266" s="78"/>
      <c r="D266" s="79"/>
      <c r="E266" s="79"/>
      <c r="F266" s="79"/>
      <c r="G266" s="79"/>
      <c r="H266" s="79"/>
      <c r="I266" s="79"/>
      <c r="J266" s="79"/>
      <c r="K266" s="79"/>
      <c r="L266" s="79"/>
    </row>
    <row r="267" spans="1:32" x14ac:dyDescent="0.4">
      <c r="C267" s="37" t="s">
        <v>70</v>
      </c>
      <c r="D267"/>
    </row>
    <row r="268" spans="1:32" x14ac:dyDescent="0.4">
      <c r="C268" s="10" t="s">
        <v>13</v>
      </c>
    </row>
    <row r="269" spans="1:32" x14ac:dyDescent="0.4">
      <c r="C269" s="10" t="s">
        <v>49</v>
      </c>
      <c r="F269" s="17"/>
    </row>
    <row r="270" spans="1:32" x14ac:dyDescent="0.4">
      <c r="C270" s="10" t="s">
        <v>17</v>
      </c>
      <c r="F270" s="17"/>
    </row>
    <row r="271" spans="1:32" ht="26.25" x14ac:dyDescent="0.4">
      <c r="C271" s="18" t="s">
        <v>50</v>
      </c>
      <c r="D271" s="38"/>
      <c r="F271" s="17"/>
      <c r="L271" t="s">
        <v>51</v>
      </c>
      <c r="S271" t="s">
        <v>51</v>
      </c>
    </row>
    <row r="272" spans="1:32" ht="24.75" hidden="1" x14ac:dyDescent="0.4">
      <c r="A272" s="9" t="str">
        <f t="shared" ref="A272:A274" si="9">_xlfn.CONCAT("/* ",B272, " */   ","[ac(""",""", ""","","cp0","""",","""")],")</f>
        <v>/* 1 */   [ac("", "cp0","")],</v>
      </c>
      <c r="B272" s="9">
        <v>1</v>
      </c>
      <c r="C272" s="9" t="str">
        <f>IF(D272="","",IF(F272="",A272,_xlfn.CONCAT("/* ",B272,"*/      ",E272:AF272)))</f>
        <v/>
      </c>
      <c r="D272" s="39" t="str">
        <f>IF(D165="","","hay letras")</f>
        <v/>
      </c>
      <c r="E272" s="40" t="s">
        <v>52</v>
      </c>
      <c r="F272" s="41" t="str">
        <f>IF(E165="","",E165)</f>
        <v/>
      </c>
      <c r="G272" s="42" t="s">
        <v>53</v>
      </c>
      <c r="H272" s="41" t="str">
        <f>IF(F272="","","14")</f>
        <v/>
      </c>
      <c r="I272" s="42" t="s">
        <v>54</v>
      </c>
      <c r="J272" s="41" t="str">
        <f>IF(F165="","",F165)</f>
        <v/>
      </c>
      <c r="K272" s="40" t="str">
        <f>IF(F272&lt;&gt;"",IF(L272="",""")],","""), ac("""),"")</f>
        <v/>
      </c>
      <c r="L272" s="43" t="str">
        <f>IF(G165="","",G165)</f>
        <v/>
      </c>
      <c r="M272" s="44" t="str">
        <f t="shared" ref="M272:M311" si="10">IF(L272="","",""",""")</f>
        <v/>
      </c>
      <c r="N272" s="45" t="str">
        <f t="shared" ref="N272:N311" si="11">IF(L272="","","cp")</f>
        <v/>
      </c>
      <c r="O272" s="43" t="str">
        <f>IF(L272="","","90")</f>
        <v/>
      </c>
      <c r="P272" s="46" t="str">
        <f t="shared" ref="P272:P311" si="12">IF(L272="","",""",""")</f>
        <v/>
      </c>
      <c r="Q272" s="47" t="str">
        <f>IF(H165="","",H165)</f>
        <v/>
      </c>
      <c r="R272" s="40" t="str">
        <f t="shared" ref="R272:R311" si="13">IF(L272&lt;&gt;"",IF(S272="",""")],","""), ac("""),"")</f>
        <v/>
      </c>
      <c r="S272" s="41" t="str">
        <f>IF(I165="","",I165)</f>
        <v/>
      </c>
      <c r="T272" s="41" t="str">
        <f t="shared" ref="T272:T311" si="14">IF(S272="","",""",""")</f>
        <v/>
      </c>
      <c r="U272" s="41" t="str">
        <f t="shared" ref="U272:U311" si="15">IF(S272="","","cp")</f>
        <v/>
      </c>
      <c r="V272" s="41" t="str">
        <f t="shared" ref="V272:V311" si="16">IF(S272="","","150")</f>
        <v/>
      </c>
      <c r="W272" s="41" t="str">
        <f t="shared" ref="W272:W311" si="17">IF(S272="","",""",""")</f>
        <v/>
      </c>
      <c r="X272" s="41" t="str">
        <f>IF(J165="","",J165)</f>
        <v/>
      </c>
      <c r="Y272" s="40" t="str">
        <f t="shared" ref="Y272:Y311" si="18">IF(S272&lt;&gt;"",IF(Z272="",""")],","""), ac("""),"")</f>
        <v/>
      </c>
      <c r="Z272" s="47" t="str">
        <f>IF(K165="","",K165)</f>
        <v/>
      </c>
      <c r="AA272" s="47" t="str">
        <f>IF(Z272="","",""",""")</f>
        <v/>
      </c>
      <c r="AB272" s="47" t="str">
        <f>IF(Z272="","","cp")</f>
        <v/>
      </c>
      <c r="AC272" s="47" t="str">
        <f>IF(Z272="","","250")</f>
        <v/>
      </c>
      <c r="AD272" s="47" t="str">
        <f>IF(Z272="","",""",""")</f>
        <v/>
      </c>
      <c r="AE272" s="47" t="str">
        <f>IF(L165="","",L165)</f>
        <v/>
      </c>
      <c r="AF272" s="40" t="str">
        <f>IF(Z272&lt;&gt;"",IF(#REF!="",""")],","), ac("),"")</f>
        <v/>
      </c>
    </row>
    <row r="273" spans="1:32" ht="24.75" hidden="1" x14ac:dyDescent="0.4">
      <c r="A273" s="9" t="str">
        <f t="shared" si="9"/>
        <v>/* 2 */   [ac("", "cp0","")],</v>
      </c>
      <c r="B273" s="9">
        <f>+B272+1</f>
        <v>2</v>
      </c>
      <c r="C273" s="9" t="str">
        <f>IF(D273="","",IF(F273="",A273,_xlfn.CONCAT("/* ",B273,"*/      ",E273:AF273)))</f>
        <v/>
      </c>
      <c r="D273" s="39" t="str">
        <f>IF(D166="","","hay letras")</f>
        <v/>
      </c>
      <c r="E273" s="40" t="s">
        <v>52</v>
      </c>
      <c r="F273" s="48" t="str">
        <f>IF(E166="","",E166)</f>
        <v/>
      </c>
      <c r="G273" s="49" t="s">
        <v>53</v>
      </c>
      <c r="H273" s="48" t="str">
        <f t="shared" ref="H273:H311" si="19">IF(F273="","","14")</f>
        <v/>
      </c>
      <c r="I273" s="49" t="s">
        <v>54</v>
      </c>
      <c r="J273" s="48" t="str">
        <f>IF(F166="","",F166)</f>
        <v/>
      </c>
      <c r="K273" s="40" t="str">
        <f>IF(F273&lt;&gt;"",IF(L273="",""")],","""), ac("""),"")</f>
        <v/>
      </c>
      <c r="L273" s="50" t="str">
        <f>IF(G166="","",G166)</f>
        <v/>
      </c>
      <c r="M273" s="51" t="str">
        <f t="shared" si="10"/>
        <v/>
      </c>
      <c r="N273" s="52" t="str">
        <f t="shared" si="11"/>
        <v/>
      </c>
      <c r="O273" s="50" t="str">
        <f t="shared" ref="O273:O311" si="20">IF(L273="","","90")</f>
        <v/>
      </c>
      <c r="P273" s="53" t="str">
        <f t="shared" si="12"/>
        <v/>
      </c>
      <c r="Q273" s="54" t="str">
        <f>IF(H166="","",H166)</f>
        <v/>
      </c>
      <c r="R273" s="40" t="str">
        <f t="shared" si="13"/>
        <v/>
      </c>
      <c r="S273" s="48" t="str">
        <f>IF(I166="","",I166)</f>
        <v/>
      </c>
      <c r="T273" s="48" t="str">
        <f t="shared" si="14"/>
        <v/>
      </c>
      <c r="U273" s="48" t="str">
        <f t="shared" si="15"/>
        <v/>
      </c>
      <c r="V273" s="48" t="str">
        <f t="shared" si="16"/>
        <v/>
      </c>
      <c r="W273" s="48" t="str">
        <f t="shared" si="17"/>
        <v/>
      </c>
      <c r="X273" s="48" t="str">
        <f>IF(J166="","",J166)</f>
        <v/>
      </c>
      <c r="Y273" s="40" t="str">
        <f t="shared" si="18"/>
        <v/>
      </c>
      <c r="Z273" s="54" t="str">
        <f>IF(K166="","",K166)</f>
        <v/>
      </c>
      <c r="AA273" s="54" t="str">
        <f t="shared" ref="AA273:AA311" si="21">IF(Z273="","",""",""")</f>
        <v/>
      </c>
      <c r="AB273" s="54" t="str">
        <f t="shared" ref="AB273:AB311" si="22">IF(Z273="","","cp")</f>
        <v/>
      </c>
      <c r="AC273" s="54" t="str">
        <f t="shared" ref="AC273:AC311" si="23">IF(Z273="","","250")</f>
        <v/>
      </c>
      <c r="AD273" s="54" t="str">
        <f t="shared" ref="AD273:AD311" si="24">IF(Z273="","",""",""")</f>
        <v/>
      </c>
      <c r="AE273" s="54" t="str">
        <f>IF(L166="","",L166)</f>
        <v/>
      </c>
      <c r="AF273" s="40" t="str">
        <f>IF(Z273&lt;&gt;"",IF(#REF!="",""")],","), ac("),"")</f>
        <v/>
      </c>
    </row>
    <row r="274" spans="1:32" ht="24.75" hidden="1" x14ac:dyDescent="0.4">
      <c r="A274" s="9" t="str">
        <f t="shared" si="9"/>
        <v>/* 3 */   [ac("", "cp0","")],</v>
      </c>
      <c r="B274" s="9">
        <f t="shared" ref="B274:B337" si="25">+B273+1</f>
        <v>3</v>
      </c>
      <c r="C274" s="9" t="str">
        <f>IF(D274="","",IF(F274="",A274,_xlfn.CONCAT("/* ",B274,"*/      ",E274:AF274)))</f>
        <v/>
      </c>
      <c r="D274" s="39" t="str">
        <f>IF(D167="","","hay letras")</f>
        <v/>
      </c>
      <c r="E274" s="40" t="s">
        <v>52</v>
      </c>
      <c r="F274" s="41" t="str">
        <f>IF(E167="","",E167)</f>
        <v/>
      </c>
      <c r="G274" s="42" t="s">
        <v>53</v>
      </c>
      <c r="H274" s="41" t="str">
        <f t="shared" si="19"/>
        <v/>
      </c>
      <c r="I274" s="42" t="s">
        <v>54</v>
      </c>
      <c r="J274" s="41" t="str">
        <f>IF(F167="","",F167)</f>
        <v/>
      </c>
      <c r="K274" s="40" t="str">
        <f t="shared" ref="K274:K311" si="26">IF(F274&lt;&gt;"",IF(L274="",""")],","""), ac("""),"")</f>
        <v/>
      </c>
      <c r="L274" s="43" t="str">
        <f>IF(G167="","",G167)</f>
        <v/>
      </c>
      <c r="M274" s="44" t="str">
        <f t="shared" si="10"/>
        <v/>
      </c>
      <c r="N274" s="45" t="str">
        <f t="shared" si="11"/>
        <v/>
      </c>
      <c r="O274" s="43" t="str">
        <f t="shared" si="20"/>
        <v/>
      </c>
      <c r="P274" s="46" t="str">
        <f t="shared" si="12"/>
        <v/>
      </c>
      <c r="Q274" s="47" t="str">
        <f>IF(H167="","",H167)</f>
        <v/>
      </c>
      <c r="R274" s="40" t="str">
        <f t="shared" si="13"/>
        <v/>
      </c>
      <c r="S274" s="41" t="str">
        <f>IF(I167="","",I167)</f>
        <v/>
      </c>
      <c r="T274" s="41" t="str">
        <f t="shared" si="14"/>
        <v/>
      </c>
      <c r="U274" s="41" t="str">
        <f t="shared" si="15"/>
        <v/>
      </c>
      <c r="V274" s="41" t="str">
        <f t="shared" si="16"/>
        <v/>
      </c>
      <c r="W274" s="41" t="str">
        <f t="shared" si="17"/>
        <v/>
      </c>
      <c r="X274" s="41" t="str">
        <f>IF(J167="","",J167)</f>
        <v/>
      </c>
      <c r="Y274" s="40" t="str">
        <f t="shared" si="18"/>
        <v/>
      </c>
      <c r="Z274" s="47" t="str">
        <f>IF(K167="","",K167)</f>
        <v/>
      </c>
      <c r="AA274" s="47" t="str">
        <f t="shared" si="21"/>
        <v/>
      </c>
      <c r="AB274" s="47" t="str">
        <f t="shared" si="22"/>
        <v/>
      </c>
      <c r="AC274" s="47" t="str">
        <f t="shared" si="23"/>
        <v/>
      </c>
      <c r="AD274" s="47" t="str">
        <f t="shared" si="24"/>
        <v/>
      </c>
      <c r="AE274" s="47" t="str">
        <f>IF(L167="","",L167)</f>
        <v/>
      </c>
      <c r="AF274" s="40" t="str">
        <f>IF(Z274&lt;&gt;"",IF(#REF!="",""")],","), ac("),"")</f>
        <v/>
      </c>
    </row>
    <row r="275" spans="1:32" ht="24.75" hidden="1" x14ac:dyDescent="0.4">
      <c r="A275" s="9" t="str">
        <f>_xlfn.CONCAT("/* ",B275, " */   ","[ac(""",""", ""","","cp0","""",","""")],")</f>
        <v>/* 4 */   [ac("", "cp0","")],</v>
      </c>
      <c r="B275" s="9">
        <f t="shared" si="25"/>
        <v>4</v>
      </c>
      <c r="C275" s="9" t="str">
        <f>IF(D275="","",IF(F275="",A275,_xlfn.CONCAT("/* ",B275,"*/      ",E275:AF275)))</f>
        <v/>
      </c>
      <c r="D275" s="39" t="str">
        <f>IF(D168="","","hay letras")</f>
        <v/>
      </c>
      <c r="E275" s="40" t="s">
        <v>52</v>
      </c>
      <c r="F275" s="48" t="str">
        <f>IF(E168="","",E168)</f>
        <v/>
      </c>
      <c r="G275" s="49" t="s">
        <v>53</v>
      </c>
      <c r="H275" s="48" t="str">
        <f t="shared" si="19"/>
        <v/>
      </c>
      <c r="I275" s="49" t="s">
        <v>54</v>
      </c>
      <c r="J275" s="48" t="str">
        <f>IF(F168="","",F168)</f>
        <v/>
      </c>
      <c r="K275" s="40" t="str">
        <f t="shared" si="26"/>
        <v/>
      </c>
      <c r="L275" s="50" t="str">
        <f>IF(G168="","",G168)</f>
        <v/>
      </c>
      <c r="M275" s="51" t="str">
        <f t="shared" si="10"/>
        <v/>
      </c>
      <c r="N275" s="52" t="str">
        <f t="shared" si="11"/>
        <v/>
      </c>
      <c r="O275" s="50" t="str">
        <f t="shared" si="20"/>
        <v/>
      </c>
      <c r="P275" s="53" t="str">
        <f t="shared" si="12"/>
        <v/>
      </c>
      <c r="Q275" s="54" t="str">
        <f>IF(H168="","",H168)</f>
        <v/>
      </c>
      <c r="R275" s="40" t="str">
        <f t="shared" si="13"/>
        <v/>
      </c>
      <c r="S275" s="48" t="str">
        <f>IF(I168="","",I168)</f>
        <v/>
      </c>
      <c r="T275" s="48" t="str">
        <f t="shared" si="14"/>
        <v/>
      </c>
      <c r="U275" s="48" t="str">
        <f t="shared" si="15"/>
        <v/>
      </c>
      <c r="V275" s="48" t="str">
        <f t="shared" si="16"/>
        <v/>
      </c>
      <c r="W275" s="48" t="str">
        <f t="shared" si="17"/>
        <v/>
      </c>
      <c r="X275" s="48" t="str">
        <f>IF(J168="","",J168)</f>
        <v/>
      </c>
      <c r="Y275" s="40" t="str">
        <f t="shared" si="18"/>
        <v/>
      </c>
      <c r="Z275" s="54" t="str">
        <f>IF(K168="","",K168)</f>
        <v/>
      </c>
      <c r="AA275" s="54" t="str">
        <f t="shared" si="21"/>
        <v/>
      </c>
      <c r="AB275" s="54" t="str">
        <f t="shared" si="22"/>
        <v/>
      </c>
      <c r="AC275" s="54" t="str">
        <f t="shared" si="23"/>
        <v/>
      </c>
      <c r="AD275" s="54" t="str">
        <f t="shared" si="24"/>
        <v/>
      </c>
      <c r="AE275" s="54" t="str">
        <f>IF(L168="","",L168)</f>
        <v/>
      </c>
      <c r="AF275" s="40" t="str">
        <f>IF(Z275&lt;&gt;"",IF(#REF!="",""")],","), ac("),"")</f>
        <v/>
      </c>
    </row>
    <row r="276" spans="1:32" ht="24.75" hidden="1" x14ac:dyDescent="0.4">
      <c r="A276" s="9" t="str">
        <f t="shared" ref="A276:A339" si="27">_xlfn.CONCAT("/* ",B276, " */   ","[ac(""",""", ""","","cp0","""",","""")],")</f>
        <v>/* 5 */   [ac("", "cp0","")],</v>
      </c>
      <c r="B276" s="9">
        <f>+B275+1</f>
        <v>5</v>
      </c>
      <c r="C276" s="9" t="str">
        <f>IF(D276="","",IF(F276="",A276,_xlfn.CONCAT("/* ",B276,"*/      ",E276:AF276)))</f>
        <v/>
      </c>
      <c r="D276" s="39" t="str">
        <f>IF(D169="","","hay letras")</f>
        <v/>
      </c>
      <c r="E276" s="40" t="s">
        <v>52</v>
      </c>
      <c r="F276" s="41" t="str">
        <f>IF(E169="","",E169)</f>
        <v/>
      </c>
      <c r="G276" s="55" t="s">
        <v>53</v>
      </c>
      <c r="H276" s="41"/>
      <c r="I276" s="55" t="s">
        <v>54</v>
      </c>
      <c r="J276" s="41" t="str">
        <f>IF(F169="","",F169)</f>
        <v/>
      </c>
      <c r="K276" s="40" t="str">
        <f t="shared" si="26"/>
        <v/>
      </c>
      <c r="L276" s="43" t="str">
        <f>IF(G169="","",G169)</f>
        <v/>
      </c>
      <c r="M276" s="44" t="str">
        <f t="shared" si="10"/>
        <v/>
      </c>
      <c r="N276" s="45" t="str">
        <f t="shared" si="11"/>
        <v/>
      </c>
      <c r="O276" s="43" t="str">
        <f t="shared" si="20"/>
        <v/>
      </c>
      <c r="P276" s="46" t="str">
        <f t="shared" si="12"/>
        <v/>
      </c>
      <c r="Q276" s="47" t="str">
        <f>IF(H169="","",H169)</f>
        <v/>
      </c>
      <c r="R276" s="40" t="str">
        <f t="shared" si="13"/>
        <v/>
      </c>
      <c r="S276" s="41" t="str">
        <f>IF(I169="","",I169)</f>
        <v/>
      </c>
      <c r="T276" s="41" t="str">
        <f t="shared" si="14"/>
        <v/>
      </c>
      <c r="U276" s="41" t="str">
        <f t="shared" si="15"/>
        <v/>
      </c>
      <c r="V276" s="41" t="str">
        <f t="shared" si="16"/>
        <v/>
      </c>
      <c r="W276" s="41" t="str">
        <f t="shared" si="17"/>
        <v/>
      </c>
      <c r="X276" s="41" t="str">
        <f>IF(J169="","",J169)</f>
        <v/>
      </c>
      <c r="Y276" s="40" t="str">
        <f t="shared" si="18"/>
        <v/>
      </c>
      <c r="Z276" s="47" t="str">
        <f>IF(K169="","",K169)</f>
        <v/>
      </c>
      <c r="AA276" s="47" t="str">
        <f t="shared" si="21"/>
        <v/>
      </c>
      <c r="AB276" s="47" t="str">
        <f t="shared" si="22"/>
        <v/>
      </c>
      <c r="AC276" s="47" t="str">
        <f t="shared" si="23"/>
        <v/>
      </c>
      <c r="AD276" s="47" t="str">
        <f t="shared" si="24"/>
        <v/>
      </c>
      <c r="AE276" s="47" t="str">
        <f>IF(L169="","",L169)</f>
        <v/>
      </c>
      <c r="AF276" s="40" t="str">
        <f>IF(Z276&lt;&gt;"",IF(#REF!="",""")],","), ac("),"")</f>
        <v/>
      </c>
    </row>
    <row r="277" spans="1:32" ht="24.75" hidden="1" x14ac:dyDescent="0.4">
      <c r="A277" s="9" t="str">
        <f t="shared" si="27"/>
        <v>/* 6 */   [ac("", "cp0","")],</v>
      </c>
      <c r="B277" s="9">
        <f t="shared" si="25"/>
        <v>6</v>
      </c>
      <c r="C277" s="9" t="str">
        <f>IF(D277="","",IF(F277="",A277,_xlfn.CONCAT("/* ",B277,"*/      ",E277:AF277)))</f>
        <v/>
      </c>
      <c r="D277" s="39" t="str">
        <f>IF(D170="","","hay letras")</f>
        <v/>
      </c>
      <c r="E277" s="40" t="s">
        <v>52</v>
      </c>
      <c r="F277" s="48" t="str">
        <f>IF(E170="","",E170)</f>
        <v/>
      </c>
      <c r="G277" s="49" t="s">
        <v>53</v>
      </c>
      <c r="H277" s="48" t="str">
        <f t="shared" si="19"/>
        <v/>
      </c>
      <c r="I277" s="49" t="s">
        <v>54</v>
      </c>
      <c r="J277" s="48" t="str">
        <f>IF(F170="","",F170)</f>
        <v/>
      </c>
      <c r="K277" s="40" t="str">
        <f t="shared" si="26"/>
        <v/>
      </c>
      <c r="L277" s="50" t="str">
        <f>IF(G170="","",G170)</f>
        <v/>
      </c>
      <c r="M277" s="51" t="str">
        <f t="shared" si="10"/>
        <v/>
      </c>
      <c r="N277" s="52" t="str">
        <f t="shared" si="11"/>
        <v/>
      </c>
      <c r="O277" s="50" t="str">
        <f t="shared" si="20"/>
        <v/>
      </c>
      <c r="P277" s="53" t="str">
        <f t="shared" si="12"/>
        <v/>
      </c>
      <c r="Q277" s="54" t="str">
        <f>IF(H170="","",H170)</f>
        <v/>
      </c>
      <c r="R277" s="40" t="str">
        <f t="shared" si="13"/>
        <v/>
      </c>
      <c r="S277" s="48" t="str">
        <f>IF(I170="","",I170)</f>
        <v/>
      </c>
      <c r="T277" s="48" t="str">
        <f t="shared" si="14"/>
        <v/>
      </c>
      <c r="U277" s="48" t="str">
        <f t="shared" si="15"/>
        <v/>
      </c>
      <c r="V277" s="48" t="str">
        <f t="shared" si="16"/>
        <v/>
      </c>
      <c r="W277" s="48" t="str">
        <f t="shared" si="17"/>
        <v/>
      </c>
      <c r="X277" s="48" t="str">
        <f>IF(J170="","",J170)</f>
        <v/>
      </c>
      <c r="Y277" s="40" t="str">
        <f t="shared" si="18"/>
        <v/>
      </c>
      <c r="Z277" s="54" t="str">
        <f>IF(K170="","",K170)</f>
        <v/>
      </c>
      <c r="AA277" s="54" t="str">
        <f t="shared" si="21"/>
        <v/>
      </c>
      <c r="AB277" s="54" t="str">
        <f t="shared" si="22"/>
        <v/>
      </c>
      <c r="AC277" s="54" t="str">
        <f t="shared" si="23"/>
        <v/>
      </c>
      <c r="AD277" s="54" t="str">
        <f t="shared" si="24"/>
        <v/>
      </c>
      <c r="AE277" s="54" t="str">
        <f>IF(L170="","",L170)</f>
        <v/>
      </c>
      <c r="AF277" s="40" t="str">
        <f>IF(Z277&lt;&gt;"",IF(AG106="",""")],","), ac("),"")</f>
        <v/>
      </c>
    </row>
    <row r="278" spans="1:32" ht="24.75" hidden="1" x14ac:dyDescent="0.4">
      <c r="A278" s="9" t="str">
        <f t="shared" si="27"/>
        <v>/* 7 */   [ac("", "cp0","")],</v>
      </c>
      <c r="B278" s="9">
        <f t="shared" si="25"/>
        <v>7</v>
      </c>
      <c r="C278" s="9" t="str">
        <f>IF(D278="","",IF(F278="",A278,_xlfn.CONCAT("/* ",B278,"*/      ",E278:AF278)))</f>
        <v/>
      </c>
      <c r="D278" s="39" t="str">
        <f>IF(D171="","","hay letras")</f>
        <v/>
      </c>
      <c r="E278" s="40" t="s">
        <v>52</v>
      </c>
      <c r="F278" s="41" t="str">
        <f>IF(E171="","",E171)</f>
        <v/>
      </c>
      <c r="G278" s="55" t="s">
        <v>53</v>
      </c>
      <c r="H278" s="41" t="str">
        <f t="shared" si="19"/>
        <v/>
      </c>
      <c r="I278" s="55" t="s">
        <v>54</v>
      </c>
      <c r="J278" s="41" t="str">
        <f>IF(F171="","",F171)</f>
        <v/>
      </c>
      <c r="K278" s="40" t="str">
        <f t="shared" si="26"/>
        <v/>
      </c>
      <c r="L278" s="43" t="str">
        <f>IF(G171="","",G171)</f>
        <v/>
      </c>
      <c r="M278" s="44" t="str">
        <f t="shared" si="10"/>
        <v/>
      </c>
      <c r="N278" s="45" t="str">
        <f t="shared" si="11"/>
        <v/>
      </c>
      <c r="O278" s="43" t="str">
        <f t="shared" si="20"/>
        <v/>
      </c>
      <c r="P278" s="46" t="str">
        <f t="shared" si="12"/>
        <v/>
      </c>
      <c r="Q278" s="47" t="str">
        <f>IF(H171="","",H171)</f>
        <v/>
      </c>
      <c r="R278" s="40" t="str">
        <f t="shared" si="13"/>
        <v/>
      </c>
      <c r="S278" s="41" t="str">
        <f>IF(I171="","",I171)</f>
        <v/>
      </c>
      <c r="T278" s="41" t="str">
        <f t="shared" si="14"/>
        <v/>
      </c>
      <c r="U278" s="41" t="str">
        <f t="shared" si="15"/>
        <v/>
      </c>
      <c r="V278" s="41" t="str">
        <f t="shared" si="16"/>
        <v/>
      </c>
      <c r="W278" s="41" t="str">
        <f t="shared" si="17"/>
        <v/>
      </c>
      <c r="X278" s="41" t="str">
        <f>IF(J171="","",J171)</f>
        <v/>
      </c>
      <c r="Y278" s="40" t="str">
        <f t="shared" si="18"/>
        <v/>
      </c>
      <c r="Z278" s="47" t="str">
        <f>IF(K171="","",K171)</f>
        <v/>
      </c>
      <c r="AA278" s="47" t="str">
        <f t="shared" si="21"/>
        <v/>
      </c>
      <c r="AB278" s="47" t="str">
        <f t="shared" si="22"/>
        <v/>
      </c>
      <c r="AC278" s="47" t="str">
        <f t="shared" si="23"/>
        <v/>
      </c>
      <c r="AD278" s="47" t="str">
        <f t="shared" si="24"/>
        <v/>
      </c>
      <c r="AE278" s="47" t="str">
        <f>IF(L171="","",L171)</f>
        <v/>
      </c>
      <c r="AF278" s="40" t="str">
        <f>IF(Z278&lt;&gt;"",IF(AG107="",""")],","), ac("),"")</f>
        <v/>
      </c>
    </row>
    <row r="279" spans="1:32" ht="24.75" hidden="1" x14ac:dyDescent="0.4">
      <c r="A279" s="9" t="str">
        <f t="shared" si="27"/>
        <v>/* 8 */   [ac("", "cp0","")],</v>
      </c>
      <c r="B279" s="9">
        <f t="shared" si="25"/>
        <v>8</v>
      </c>
      <c r="C279" s="9" t="str">
        <f>IF(D279="","",IF(F279="",A279,_xlfn.CONCAT("/* ",B279,"*/      ",E279:AF279)))</f>
        <v/>
      </c>
      <c r="D279" s="39" t="str">
        <f>IF(D172="","","hay letras")</f>
        <v/>
      </c>
      <c r="E279" s="40" t="s">
        <v>52</v>
      </c>
      <c r="F279" s="48" t="str">
        <f>IF(E172="","",E172)</f>
        <v/>
      </c>
      <c r="G279" s="49" t="s">
        <v>53</v>
      </c>
      <c r="H279" s="48" t="str">
        <f t="shared" si="19"/>
        <v/>
      </c>
      <c r="I279" s="49" t="s">
        <v>54</v>
      </c>
      <c r="J279" s="48" t="str">
        <f>IF(F172="","",F172)</f>
        <v/>
      </c>
      <c r="K279" s="40" t="str">
        <f t="shared" si="26"/>
        <v/>
      </c>
      <c r="L279" s="50" t="str">
        <f>IF(G172="","",G172)</f>
        <v/>
      </c>
      <c r="M279" s="51" t="str">
        <f t="shared" si="10"/>
        <v/>
      </c>
      <c r="N279" s="52" t="str">
        <f t="shared" si="11"/>
        <v/>
      </c>
      <c r="O279" s="50" t="str">
        <f t="shared" si="20"/>
        <v/>
      </c>
      <c r="P279" s="53" t="str">
        <f t="shared" si="12"/>
        <v/>
      </c>
      <c r="Q279" s="54" t="str">
        <f>IF(H172="","",H172)</f>
        <v/>
      </c>
      <c r="R279" s="40" t="str">
        <f t="shared" si="13"/>
        <v/>
      </c>
      <c r="S279" s="48" t="str">
        <f>IF(I172="","",I172)</f>
        <v/>
      </c>
      <c r="T279" s="48" t="str">
        <f t="shared" si="14"/>
        <v/>
      </c>
      <c r="U279" s="48" t="str">
        <f t="shared" si="15"/>
        <v/>
      </c>
      <c r="V279" s="48" t="str">
        <f t="shared" si="16"/>
        <v/>
      </c>
      <c r="W279" s="48" t="str">
        <f t="shared" si="17"/>
        <v/>
      </c>
      <c r="X279" s="48" t="str">
        <f>IF(J172="","",J172)</f>
        <v/>
      </c>
      <c r="Y279" s="40" t="str">
        <f t="shared" si="18"/>
        <v/>
      </c>
      <c r="Z279" s="54" t="str">
        <f>IF(K172="","",K172)</f>
        <v/>
      </c>
      <c r="AA279" s="54" t="str">
        <f t="shared" si="21"/>
        <v/>
      </c>
      <c r="AB279" s="54" t="str">
        <f t="shared" si="22"/>
        <v/>
      </c>
      <c r="AC279" s="54" t="str">
        <f t="shared" si="23"/>
        <v/>
      </c>
      <c r="AD279" s="54" t="str">
        <f t="shared" si="24"/>
        <v/>
      </c>
      <c r="AE279" s="54" t="str">
        <f>IF(L172="","",L172)</f>
        <v/>
      </c>
      <c r="AF279" s="40" t="str">
        <f>IF(Z279&lt;&gt;"",IF(AG108="",""")],","), ac("),"")</f>
        <v/>
      </c>
    </row>
    <row r="280" spans="1:32" ht="24.75" hidden="1" x14ac:dyDescent="0.4">
      <c r="A280" s="9" t="str">
        <f t="shared" si="27"/>
        <v>/* 9 */   [ac("", "cp0","")],</v>
      </c>
      <c r="B280" s="9">
        <f>+B279+1</f>
        <v>9</v>
      </c>
      <c r="C280" s="9" t="str">
        <f>IF(D280="","",IF(F280="",A280,_xlfn.CONCAT("/* ",B280,"*/      ",E280:AF280)))</f>
        <v/>
      </c>
      <c r="D280" s="39" t="str">
        <f>IF(D173="","","hay letras")</f>
        <v/>
      </c>
      <c r="E280" s="40" t="s">
        <v>52</v>
      </c>
      <c r="F280" s="41" t="str">
        <f>IF(E173="","",E173)</f>
        <v/>
      </c>
      <c r="G280" s="55" t="s">
        <v>53</v>
      </c>
      <c r="H280" s="41" t="str">
        <f t="shared" si="19"/>
        <v/>
      </c>
      <c r="I280" s="55" t="s">
        <v>54</v>
      </c>
      <c r="J280" s="41" t="str">
        <f>IF(F173="","",F173)</f>
        <v/>
      </c>
      <c r="K280" s="40" t="str">
        <f t="shared" si="26"/>
        <v/>
      </c>
      <c r="L280" s="43" t="str">
        <f>IF(G173="","",G173)</f>
        <v/>
      </c>
      <c r="M280" s="44" t="str">
        <f t="shared" si="10"/>
        <v/>
      </c>
      <c r="N280" s="45" t="str">
        <f t="shared" si="11"/>
        <v/>
      </c>
      <c r="O280" s="43" t="str">
        <f t="shared" si="20"/>
        <v/>
      </c>
      <c r="P280" s="46" t="str">
        <f t="shared" si="12"/>
        <v/>
      </c>
      <c r="Q280" s="47" t="str">
        <f>IF(H173="","",H173)</f>
        <v/>
      </c>
      <c r="R280" s="40" t="str">
        <f t="shared" si="13"/>
        <v/>
      </c>
      <c r="S280" s="41" t="str">
        <f>IF(I173="","",I173)</f>
        <v/>
      </c>
      <c r="T280" s="41" t="str">
        <f t="shared" si="14"/>
        <v/>
      </c>
      <c r="U280" s="41" t="str">
        <f t="shared" si="15"/>
        <v/>
      </c>
      <c r="V280" s="41" t="str">
        <f t="shared" si="16"/>
        <v/>
      </c>
      <c r="W280" s="41" t="str">
        <f t="shared" si="17"/>
        <v/>
      </c>
      <c r="X280" s="41" t="str">
        <f>IF(J173="","",J173)</f>
        <v/>
      </c>
      <c r="Y280" s="40" t="str">
        <f t="shared" si="18"/>
        <v/>
      </c>
      <c r="Z280" s="47" t="str">
        <f>IF(K173="","",K173)</f>
        <v/>
      </c>
      <c r="AA280" s="47" t="str">
        <f t="shared" si="21"/>
        <v/>
      </c>
      <c r="AB280" s="47" t="str">
        <f t="shared" si="22"/>
        <v/>
      </c>
      <c r="AC280" s="47" t="str">
        <f t="shared" si="23"/>
        <v/>
      </c>
      <c r="AD280" s="47" t="str">
        <f t="shared" si="24"/>
        <v/>
      </c>
      <c r="AE280" s="47" t="str">
        <f>IF(L173="","",L173)</f>
        <v/>
      </c>
      <c r="AF280" s="40" t="str">
        <f>IF(Z280&lt;&gt;"",IF(AG109="",""")],","), ac("),"")</f>
        <v/>
      </c>
    </row>
    <row r="281" spans="1:32" ht="24.75" hidden="1" x14ac:dyDescent="0.4">
      <c r="A281" s="9" t="str">
        <f t="shared" si="27"/>
        <v>/* 10 */   [ac("", "cp0","")],</v>
      </c>
      <c r="B281" s="9">
        <f t="shared" si="25"/>
        <v>10</v>
      </c>
      <c r="C281" s="9" t="str">
        <f>IF(D281="","",IF(F281="",A281,_xlfn.CONCAT("/* ",B281,"*/      ",E281:AF281)))</f>
        <v/>
      </c>
      <c r="D281" s="39" t="str">
        <f>IF(D174="","","hay letras")</f>
        <v/>
      </c>
      <c r="E281" s="40" t="s">
        <v>52</v>
      </c>
      <c r="F281" s="48" t="str">
        <f>IF(E174="","",E174)</f>
        <v/>
      </c>
      <c r="G281" s="49" t="s">
        <v>53</v>
      </c>
      <c r="H281" s="48" t="str">
        <f t="shared" si="19"/>
        <v/>
      </c>
      <c r="I281" s="49" t="s">
        <v>54</v>
      </c>
      <c r="J281" s="48" t="str">
        <f>IF(F174="","",F174)</f>
        <v/>
      </c>
      <c r="K281" s="40" t="str">
        <f t="shared" si="26"/>
        <v/>
      </c>
      <c r="L281" s="50" t="str">
        <f>IF(G174="","",G174)</f>
        <v/>
      </c>
      <c r="M281" s="51" t="str">
        <f t="shared" si="10"/>
        <v/>
      </c>
      <c r="N281" s="52" t="str">
        <f t="shared" si="11"/>
        <v/>
      </c>
      <c r="O281" s="50" t="str">
        <f t="shared" si="20"/>
        <v/>
      </c>
      <c r="P281" s="53" t="str">
        <f t="shared" si="12"/>
        <v/>
      </c>
      <c r="Q281" s="54" t="str">
        <f>IF(H174="","",H174)</f>
        <v/>
      </c>
      <c r="R281" s="40" t="str">
        <f t="shared" si="13"/>
        <v/>
      </c>
      <c r="S281" s="48" t="str">
        <f>IF(I174="","",I174)</f>
        <v/>
      </c>
      <c r="T281" s="48" t="str">
        <f t="shared" si="14"/>
        <v/>
      </c>
      <c r="U281" s="48" t="str">
        <f t="shared" si="15"/>
        <v/>
      </c>
      <c r="V281" s="48" t="str">
        <f t="shared" si="16"/>
        <v/>
      </c>
      <c r="W281" s="48" t="str">
        <f t="shared" si="17"/>
        <v/>
      </c>
      <c r="X281" s="48" t="str">
        <f>IF(J174="","",J174)</f>
        <v/>
      </c>
      <c r="Y281" s="40" t="str">
        <f t="shared" si="18"/>
        <v/>
      </c>
      <c r="Z281" s="54" t="str">
        <f>IF(K174="","",K174)</f>
        <v/>
      </c>
      <c r="AA281" s="54" t="str">
        <f t="shared" si="21"/>
        <v/>
      </c>
      <c r="AB281" s="54" t="str">
        <f t="shared" si="22"/>
        <v/>
      </c>
      <c r="AC281" s="54" t="str">
        <f t="shared" si="23"/>
        <v/>
      </c>
      <c r="AD281" s="54" t="str">
        <f t="shared" si="24"/>
        <v/>
      </c>
      <c r="AE281" s="54" t="str">
        <f>IF(L174="","",L174)</f>
        <v/>
      </c>
      <c r="AF281" s="40" t="str">
        <f>IF(Z281&lt;&gt;"",IF(AG110="",""")],","), ac("),"")</f>
        <v/>
      </c>
    </row>
    <row r="282" spans="1:32" ht="24.75" hidden="1" x14ac:dyDescent="0.4">
      <c r="A282" s="9" t="str">
        <f t="shared" si="27"/>
        <v>/* 11 */   [ac("", "cp0","")],</v>
      </c>
      <c r="B282" s="9">
        <f t="shared" si="25"/>
        <v>11</v>
      </c>
      <c r="C282" s="9" t="str">
        <f>IF(D282="","",IF(F282="",A282,_xlfn.CONCAT("/* ",B282,"*/      ",E282:AF282)))</f>
        <v/>
      </c>
      <c r="D282" s="39" t="str">
        <f>IF(D175="","","hay letras")</f>
        <v/>
      </c>
      <c r="E282" s="40" t="s">
        <v>52</v>
      </c>
      <c r="F282" s="41" t="str">
        <f>IF(E175="","",E175)</f>
        <v/>
      </c>
      <c r="G282" s="55" t="s">
        <v>53</v>
      </c>
      <c r="H282" s="41" t="str">
        <f t="shared" si="19"/>
        <v/>
      </c>
      <c r="I282" s="55" t="s">
        <v>54</v>
      </c>
      <c r="J282" s="41" t="str">
        <f>IF(F175="","",F175)</f>
        <v/>
      </c>
      <c r="K282" s="40" t="str">
        <f t="shared" si="26"/>
        <v/>
      </c>
      <c r="L282" s="43" t="str">
        <f>IF(G175="","",G175)</f>
        <v/>
      </c>
      <c r="M282" s="44" t="str">
        <f t="shared" si="10"/>
        <v/>
      </c>
      <c r="N282" s="45" t="str">
        <f t="shared" si="11"/>
        <v/>
      </c>
      <c r="O282" s="43" t="str">
        <f t="shared" si="20"/>
        <v/>
      </c>
      <c r="P282" s="46" t="str">
        <f t="shared" si="12"/>
        <v/>
      </c>
      <c r="Q282" s="47" t="str">
        <f>IF(H175="","",H175)</f>
        <v/>
      </c>
      <c r="R282" s="40" t="str">
        <f t="shared" si="13"/>
        <v/>
      </c>
      <c r="S282" s="41" t="str">
        <f>IF(I175="","",I175)</f>
        <v/>
      </c>
      <c r="T282" s="41" t="str">
        <f t="shared" si="14"/>
        <v/>
      </c>
      <c r="U282" s="41" t="str">
        <f t="shared" si="15"/>
        <v/>
      </c>
      <c r="V282" s="41" t="str">
        <f t="shared" si="16"/>
        <v/>
      </c>
      <c r="W282" s="41" t="str">
        <f t="shared" si="17"/>
        <v/>
      </c>
      <c r="X282" s="41" t="str">
        <f>IF(J175="","",J175)</f>
        <v/>
      </c>
      <c r="Y282" s="40" t="str">
        <f t="shared" si="18"/>
        <v/>
      </c>
      <c r="Z282" s="47" t="str">
        <f>IF(K175="","",K175)</f>
        <v/>
      </c>
      <c r="AA282" s="47" t="str">
        <f t="shared" si="21"/>
        <v/>
      </c>
      <c r="AB282" s="47" t="str">
        <f t="shared" si="22"/>
        <v/>
      </c>
      <c r="AC282" s="47" t="str">
        <f t="shared" si="23"/>
        <v/>
      </c>
      <c r="AD282" s="47" t="str">
        <f t="shared" si="24"/>
        <v/>
      </c>
      <c r="AE282" s="47" t="str">
        <f>IF(L175="","",L175)</f>
        <v/>
      </c>
      <c r="AF282" s="40" t="str">
        <f>IF(Z282&lt;&gt;"",IF(AG111="",""")],","), ac("),"")</f>
        <v/>
      </c>
    </row>
    <row r="283" spans="1:32" ht="24.75" hidden="1" x14ac:dyDescent="0.4">
      <c r="A283" s="9" t="str">
        <f t="shared" si="27"/>
        <v>/* 12 */   [ac("", "cp0","")],</v>
      </c>
      <c r="B283" s="9">
        <f t="shared" si="25"/>
        <v>12</v>
      </c>
      <c r="C283" s="9" t="str">
        <f>IF(D283="","",IF(F283="",A283,_xlfn.CONCAT("/* ",B283,"*/      ",E283:AF283)))</f>
        <v/>
      </c>
      <c r="D283" s="39" t="str">
        <f>IF(D176="","","hay letras")</f>
        <v/>
      </c>
      <c r="E283" s="40" t="s">
        <v>52</v>
      </c>
      <c r="F283" s="48" t="str">
        <f>IF(E176="","",E176)</f>
        <v/>
      </c>
      <c r="G283" s="49" t="s">
        <v>53</v>
      </c>
      <c r="H283" s="48" t="str">
        <f t="shared" si="19"/>
        <v/>
      </c>
      <c r="I283" s="49" t="s">
        <v>54</v>
      </c>
      <c r="J283" s="48" t="str">
        <f>IF(F176="","",F176)</f>
        <v/>
      </c>
      <c r="K283" s="40" t="str">
        <f t="shared" si="26"/>
        <v/>
      </c>
      <c r="L283" s="50" t="str">
        <f>IF(G176="","",G176)</f>
        <v/>
      </c>
      <c r="M283" s="51" t="str">
        <f t="shared" si="10"/>
        <v/>
      </c>
      <c r="N283" s="52" t="str">
        <f t="shared" si="11"/>
        <v/>
      </c>
      <c r="O283" s="50" t="str">
        <f t="shared" si="20"/>
        <v/>
      </c>
      <c r="P283" s="53" t="str">
        <f t="shared" si="12"/>
        <v/>
      </c>
      <c r="Q283" s="54" t="str">
        <f>IF(H176="","",H176)</f>
        <v/>
      </c>
      <c r="R283" s="40" t="str">
        <f t="shared" si="13"/>
        <v/>
      </c>
      <c r="S283" s="48" t="str">
        <f>IF(I176="","",I176)</f>
        <v/>
      </c>
      <c r="T283" s="48" t="str">
        <f t="shared" si="14"/>
        <v/>
      </c>
      <c r="U283" s="48" t="str">
        <f t="shared" si="15"/>
        <v/>
      </c>
      <c r="V283" s="48" t="str">
        <f t="shared" si="16"/>
        <v/>
      </c>
      <c r="W283" s="48" t="str">
        <f t="shared" si="17"/>
        <v/>
      </c>
      <c r="X283" s="48" t="str">
        <f>IF(J176="","",J176)</f>
        <v/>
      </c>
      <c r="Y283" s="40" t="str">
        <f t="shared" si="18"/>
        <v/>
      </c>
      <c r="Z283" s="54" t="str">
        <f>IF(K176="","",K176)</f>
        <v/>
      </c>
      <c r="AA283" s="54" t="str">
        <f t="shared" si="21"/>
        <v/>
      </c>
      <c r="AB283" s="54" t="str">
        <f t="shared" si="22"/>
        <v/>
      </c>
      <c r="AC283" s="54" t="str">
        <f t="shared" si="23"/>
        <v/>
      </c>
      <c r="AD283" s="54" t="str">
        <f t="shared" si="24"/>
        <v/>
      </c>
      <c r="AE283" s="54" t="str">
        <f>IF(L176="","",L176)</f>
        <v/>
      </c>
      <c r="AF283" s="40" t="str">
        <f>IF(Z283&lt;&gt;"",IF(AG112="",""")],","), ac("),"")</f>
        <v/>
      </c>
    </row>
    <row r="284" spans="1:32" ht="24.75" hidden="1" x14ac:dyDescent="0.4">
      <c r="A284" s="9" t="str">
        <f t="shared" si="27"/>
        <v>/* 13 */   [ac("", "cp0","")],</v>
      </c>
      <c r="B284" s="9">
        <f>+B283+1</f>
        <v>13</v>
      </c>
      <c r="C284" s="9" t="str">
        <f>IF(D284="","",IF(F284="",A284,_xlfn.CONCAT("/* ",B284,"*/      ",E284:AF284)))</f>
        <v/>
      </c>
      <c r="D284" s="39" t="str">
        <f>IF(D177="","","hay letras")</f>
        <v/>
      </c>
      <c r="E284" s="40" t="s">
        <v>52</v>
      </c>
      <c r="F284" s="41" t="str">
        <f>IF(E177="","",E177)</f>
        <v/>
      </c>
      <c r="G284" s="55" t="s">
        <v>53</v>
      </c>
      <c r="H284" s="41" t="str">
        <f t="shared" si="19"/>
        <v/>
      </c>
      <c r="I284" s="55" t="s">
        <v>54</v>
      </c>
      <c r="J284" s="41" t="str">
        <f>IF(F177="","",F177)</f>
        <v/>
      </c>
      <c r="K284" s="40" t="str">
        <f t="shared" si="26"/>
        <v/>
      </c>
      <c r="L284" s="43" t="str">
        <f>IF(G177="","",G177)</f>
        <v/>
      </c>
      <c r="M284" s="44" t="str">
        <f t="shared" si="10"/>
        <v/>
      </c>
      <c r="N284" s="45" t="str">
        <f t="shared" si="11"/>
        <v/>
      </c>
      <c r="O284" s="43" t="str">
        <f t="shared" si="20"/>
        <v/>
      </c>
      <c r="P284" s="46" t="str">
        <f t="shared" si="12"/>
        <v/>
      </c>
      <c r="Q284" s="47" t="str">
        <f>IF(H177="","",H177)</f>
        <v/>
      </c>
      <c r="R284" s="40" t="str">
        <f t="shared" si="13"/>
        <v/>
      </c>
      <c r="S284" s="41" t="str">
        <f>IF(I177="","",I177)</f>
        <v/>
      </c>
      <c r="T284" s="41" t="str">
        <f t="shared" si="14"/>
        <v/>
      </c>
      <c r="U284" s="41" t="str">
        <f t="shared" si="15"/>
        <v/>
      </c>
      <c r="V284" s="41" t="str">
        <f t="shared" si="16"/>
        <v/>
      </c>
      <c r="W284" s="41" t="str">
        <f t="shared" si="17"/>
        <v/>
      </c>
      <c r="X284" s="41" t="str">
        <f>IF(J177="","",J177)</f>
        <v/>
      </c>
      <c r="Y284" s="40" t="str">
        <f t="shared" si="18"/>
        <v/>
      </c>
      <c r="Z284" s="47" t="str">
        <f>IF(K177="","",K177)</f>
        <v/>
      </c>
      <c r="AA284" s="47" t="str">
        <f t="shared" si="21"/>
        <v/>
      </c>
      <c r="AB284" s="47" t="str">
        <f t="shared" si="22"/>
        <v/>
      </c>
      <c r="AC284" s="47" t="str">
        <f t="shared" si="23"/>
        <v/>
      </c>
      <c r="AD284" s="47" t="str">
        <f t="shared" si="24"/>
        <v/>
      </c>
      <c r="AE284" s="47" t="str">
        <f>IF(L177="","",L177)</f>
        <v/>
      </c>
      <c r="AF284" s="40" t="str">
        <f>IF(Z284&lt;&gt;"",IF(AG113="",""")],","), ac("),"")</f>
        <v/>
      </c>
    </row>
    <row r="285" spans="1:32" ht="24.75" hidden="1" x14ac:dyDescent="0.4">
      <c r="A285" s="9" t="str">
        <f t="shared" si="27"/>
        <v>/* 14 */   [ac("", "cp0","")],</v>
      </c>
      <c r="B285" s="9">
        <f t="shared" si="25"/>
        <v>14</v>
      </c>
      <c r="C285" s="9" t="str">
        <f>IF(D285="","",IF(F285="",A285,_xlfn.CONCAT("/* ",B285,"*/      ",E285:AF285)))</f>
        <v/>
      </c>
      <c r="D285" s="39" t="str">
        <f>IF(D178="","","hay letras")</f>
        <v/>
      </c>
      <c r="E285" s="40" t="s">
        <v>52</v>
      </c>
      <c r="F285" s="48" t="str">
        <f>IF(E178="","",E178)</f>
        <v/>
      </c>
      <c r="G285" s="49" t="s">
        <v>53</v>
      </c>
      <c r="H285" s="48" t="str">
        <f t="shared" si="19"/>
        <v/>
      </c>
      <c r="I285" s="49" t="s">
        <v>54</v>
      </c>
      <c r="J285" s="48" t="str">
        <f>IF(F178="","",F178)</f>
        <v/>
      </c>
      <c r="K285" s="40" t="str">
        <f t="shared" si="26"/>
        <v/>
      </c>
      <c r="L285" s="50" t="str">
        <f>IF(G178="","",G178)</f>
        <v/>
      </c>
      <c r="M285" s="51" t="str">
        <f t="shared" si="10"/>
        <v/>
      </c>
      <c r="N285" s="52" t="str">
        <f t="shared" si="11"/>
        <v/>
      </c>
      <c r="O285" s="50" t="str">
        <f t="shared" si="20"/>
        <v/>
      </c>
      <c r="P285" s="53" t="str">
        <f t="shared" si="12"/>
        <v/>
      </c>
      <c r="Q285" s="54" t="str">
        <f>IF(H178="","",H178)</f>
        <v/>
      </c>
      <c r="R285" s="40" t="str">
        <f t="shared" si="13"/>
        <v/>
      </c>
      <c r="S285" s="48" t="str">
        <f>IF(I178="","",I178)</f>
        <v/>
      </c>
      <c r="T285" s="48" t="str">
        <f t="shared" si="14"/>
        <v/>
      </c>
      <c r="U285" s="48" t="str">
        <f t="shared" si="15"/>
        <v/>
      </c>
      <c r="V285" s="48" t="str">
        <f t="shared" si="16"/>
        <v/>
      </c>
      <c r="W285" s="48" t="str">
        <f t="shared" si="17"/>
        <v/>
      </c>
      <c r="X285" s="48" t="str">
        <f>IF(J178="","",J178)</f>
        <v/>
      </c>
      <c r="Y285" s="40" t="str">
        <f t="shared" si="18"/>
        <v/>
      </c>
      <c r="Z285" s="54" t="str">
        <f>IF(K178="","",K178)</f>
        <v/>
      </c>
      <c r="AA285" s="54" t="str">
        <f t="shared" si="21"/>
        <v/>
      </c>
      <c r="AB285" s="54" t="str">
        <f t="shared" si="22"/>
        <v/>
      </c>
      <c r="AC285" s="54" t="str">
        <f t="shared" si="23"/>
        <v/>
      </c>
      <c r="AD285" s="54" t="str">
        <f t="shared" si="24"/>
        <v/>
      </c>
      <c r="AE285" s="54" t="str">
        <f>IF(L178="","",L178)</f>
        <v/>
      </c>
      <c r="AF285" s="40" t="str">
        <f>IF(Z285&lt;&gt;"",IF(AG114="",""")],","), ac("),"")</f>
        <v/>
      </c>
    </row>
    <row r="286" spans="1:32" ht="24.75" hidden="1" x14ac:dyDescent="0.4">
      <c r="A286" s="9" t="str">
        <f t="shared" si="27"/>
        <v>/* 15 */   [ac("", "cp0","")],</v>
      </c>
      <c r="B286" s="9">
        <f t="shared" si="25"/>
        <v>15</v>
      </c>
      <c r="C286" s="9" t="str">
        <f>IF(D286="","",IF(F286="",A286,_xlfn.CONCAT("/* ",B286,"*/      ",E286:AF286)))</f>
        <v/>
      </c>
      <c r="D286" s="39" t="str">
        <f>IF(D179="","","hay letras")</f>
        <v/>
      </c>
      <c r="E286" s="40" t="s">
        <v>52</v>
      </c>
      <c r="F286" s="41" t="str">
        <f>IF(E179="","",E179)</f>
        <v/>
      </c>
      <c r="G286" s="55" t="s">
        <v>53</v>
      </c>
      <c r="H286" s="41" t="str">
        <f t="shared" si="19"/>
        <v/>
      </c>
      <c r="I286" s="55" t="s">
        <v>54</v>
      </c>
      <c r="J286" s="41" t="str">
        <f>IF(F179="","",F179)</f>
        <v/>
      </c>
      <c r="K286" s="40" t="str">
        <f t="shared" si="26"/>
        <v/>
      </c>
      <c r="L286" s="43" t="str">
        <f>IF(G179="","",G179)</f>
        <v/>
      </c>
      <c r="M286" s="44" t="str">
        <f t="shared" si="10"/>
        <v/>
      </c>
      <c r="N286" s="45" t="str">
        <f t="shared" si="11"/>
        <v/>
      </c>
      <c r="O286" s="43" t="str">
        <f t="shared" si="20"/>
        <v/>
      </c>
      <c r="P286" s="46" t="str">
        <f t="shared" si="12"/>
        <v/>
      </c>
      <c r="Q286" s="47" t="str">
        <f>IF(H179="","",H179)</f>
        <v/>
      </c>
      <c r="R286" s="40" t="str">
        <f t="shared" si="13"/>
        <v/>
      </c>
      <c r="S286" s="41" t="str">
        <f>IF(I179="","",I179)</f>
        <v/>
      </c>
      <c r="T286" s="41" t="str">
        <f t="shared" si="14"/>
        <v/>
      </c>
      <c r="U286" s="41" t="str">
        <f t="shared" si="15"/>
        <v/>
      </c>
      <c r="V286" s="41" t="str">
        <f t="shared" si="16"/>
        <v/>
      </c>
      <c r="W286" s="41" t="str">
        <f t="shared" si="17"/>
        <v/>
      </c>
      <c r="X286" s="41" t="str">
        <f>IF(J179="","",J179)</f>
        <v/>
      </c>
      <c r="Y286" s="40" t="str">
        <f t="shared" si="18"/>
        <v/>
      </c>
      <c r="Z286" s="47" t="str">
        <f>IF(K179="","",K179)</f>
        <v/>
      </c>
      <c r="AA286" s="47" t="str">
        <f t="shared" si="21"/>
        <v/>
      </c>
      <c r="AB286" s="47" t="str">
        <f t="shared" si="22"/>
        <v/>
      </c>
      <c r="AC286" s="47" t="str">
        <f t="shared" si="23"/>
        <v/>
      </c>
      <c r="AD286" s="47" t="str">
        <f t="shared" si="24"/>
        <v/>
      </c>
      <c r="AE286" s="47" t="str">
        <f>IF(L179="","",L179)</f>
        <v/>
      </c>
      <c r="AF286" s="40" t="str">
        <f>IF(Z286&lt;&gt;"",IF(AG115="",""")],","), ac("),"")</f>
        <v/>
      </c>
    </row>
    <row r="287" spans="1:32" ht="24.75" hidden="1" x14ac:dyDescent="0.4">
      <c r="A287" s="9" t="str">
        <f t="shared" si="27"/>
        <v>/* 16 */   [ac("", "cp0","")],</v>
      </c>
      <c r="B287" s="9">
        <f t="shared" si="25"/>
        <v>16</v>
      </c>
      <c r="C287" s="9" t="str">
        <f>IF(D287="","",IF(F287="",A287,_xlfn.CONCAT("/* ",B287,"*/      ",E287:AF287)))</f>
        <v/>
      </c>
      <c r="D287" s="39" t="str">
        <f>IF(D180="","","hay letras")</f>
        <v/>
      </c>
      <c r="E287" s="40" t="s">
        <v>52</v>
      </c>
      <c r="F287" s="48" t="str">
        <f>IF(E180="","",E180)</f>
        <v/>
      </c>
      <c r="G287" s="49" t="s">
        <v>53</v>
      </c>
      <c r="H287" s="48" t="str">
        <f t="shared" si="19"/>
        <v/>
      </c>
      <c r="I287" s="49" t="s">
        <v>54</v>
      </c>
      <c r="J287" s="48" t="str">
        <f>IF(F180="","",F180)</f>
        <v/>
      </c>
      <c r="K287" s="40" t="str">
        <f t="shared" si="26"/>
        <v/>
      </c>
      <c r="L287" s="50" t="str">
        <f>IF(G180="","",G180)</f>
        <v/>
      </c>
      <c r="M287" s="51" t="str">
        <f t="shared" si="10"/>
        <v/>
      </c>
      <c r="N287" s="52" t="str">
        <f t="shared" si="11"/>
        <v/>
      </c>
      <c r="O287" s="50" t="str">
        <f t="shared" si="20"/>
        <v/>
      </c>
      <c r="P287" s="53" t="str">
        <f t="shared" si="12"/>
        <v/>
      </c>
      <c r="Q287" s="54" t="str">
        <f>IF(H180="","",H180)</f>
        <v/>
      </c>
      <c r="R287" s="40" t="str">
        <f t="shared" si="13"/>
        <v/>
      </c>
      <c r="S287" s="48" t="str">
        <f>IF(I180="","",I180)</f>
        <v/>
      </c>
      <c r="T287" s="48" t="str">
        <f t="shared" si="14"/>
        <v/>
      </c>
      <c r="U287" s="48" t="str">
        <f t="shared" si="15"/>
        <v/>
      </c>
      <c r="V287" s="48" t="str">
        <f t="shared" si="16"/>
        <v/>
      </c>
      <c r="W287" s="48" t="str">
        <f t="shared" si="17"/>
        <v/>
      </c>
      <c r="X287" s="48" t="str">
        <f>IF(J180="","",J180)</f>
        <v/>
      </c>
      <c r="Y287" s="40" t="str">
        <f t="shared" si="18"/>
        <v/>
      </c>
      <c r="Z287" s="54" t="str">
        <f>IF(K180="","",K180)</f>
        <v/>
      </c>
      <c r="AA287" s="54" t="str">
        <f t="shared" si="21"/>
        <v/>
      </c>
      <c r="AB287" s="54" t="str">
        <f t="shared" si="22"/>
        <v/>
      </c>
      <c r="AC287" s="54" t="str">
        <f t="shared" si="23"/>
        <v/>
      </c>
      <c r="AD287" s="54" t="str">
        <f t="shared" si="24"/>
        <v/>
      </c>
      <c r="AE287" s="54" t="str">
        <f>IF(L180="","",L180)</f>
        <v/>
      </c>
      <c r="AF287" s="40" t="str">
        <f>IF(Z287&lt;&gt;"",IF(AG116="",""")],","), ac("),"")</f>
        <v/>
      </c>
    </row>
    <row r="288" spans="1:32" ht="24.75" hidden="1" x14ac:dyDescent="0.4">
      <c r="A288" s="9" t="str">
        <f t="shared" si="27"/>
        <v>/* 17 */   [ac("", "cp0","")],</v>
      </c>
      <c r="B288" s="9">
        <f>+B287+1</f>
        <v>17</v>
      </c>
      <c r="C288" s="9" t="str">
        <f>IF(D288="","",IF(F288="",A288,_xlfn.CONCAT("/* ",B288,"*/      ",E288:AF288)))</f>
        <v/>
      </c>
      <c r="D288" s="39" t="str">
        <f>IF(D181="","","hay letras")</f>
        <v/>
      </c>
      <c r="E288" s="40" t="s">
        <v>52</v>
      </c>
      <c r="F288" s="41" t="str">
        <f>IF(E181="","",E181)</f>
        <v/>
      </c>
      <c r="G288" s="55" t="s">
        <v>53</v>
      </c>
      <c r="H288" s="41" t="str">
        <f t="shared" si="19"/>
        <v/>
      </c>
      <c r="I288" s="55" t="s">
        <v>54</v>
      </c>
      <c r="J288" s="41" t="str">
        <f>IF(F181="","",F181)</f>
        <v/>
      </c>
      <c r="K288" s="40" t="str">
        <f t="shared" si="26"/>
        <v/>
      </c>
      <c r="L288" s="43" t="str">
        <f>IF(G181="","",G181)</f>
        <v/>
      </c>
      <c r="M288" s="44" t="str">
        <f t="shared" si="10"/>
        <v/>
      </c>
      <c r="N288" s="45" t="str">
        <f t="shared" si="11"/>
        <v/>
      </c>
      <c r="O288" s="43" t="str">
        <f t="shared" si="20"/>
        <v/>
      </c>
      <c r="P288" s="46" t="str">
        <f t="shared" si="12"/>
        <v/>
      </c>
      <c r="Q288" s="47" t="str">
        <f>IF(H181="","",H181)</f>
        <v/>
      </c>
      <c r="R288" s="40" t="str">
        <f t="shared" si="13"/>
        <v/>
      </c>
      <c r="S288" s="41" t="str">
        <f>IF(I181="","",I181)</f>
        <v/>
      </c>
      <c r="T288" s="41" t="str">
        <f t="shared" si="14"/>
        <v/>
      </c>
      <c r="U288" s="41" t="str">
        <f t="shared" si="15"/>
        <v/>
      </c>
      <c r="V288" s="41" t="str">
        <f t="shared" si="16"/>
        <v/>
      </c>
      <c r="W288" s="41" t="str">
        <f t="shared" si="17"/>
        <v/>
      </c>
      <c r="X288" s="41" t="str">
        <f>IF(J181="","",J181)</f>
        <v/>
      </c>
      <c r="Y288" s="40" t="str">
        <f t="shared" si="18"/>
        <v/>
      </c>
      <c r="Z288" s="47" t="str">
        <f>IF(K181="","",K181)</f>
        <v/>
      </c>
      <c r="AA288" s="47" t="str">
        <f t="shared" si="21"/>
        <v/>
      </c>
      <c r="AB288" s="47" t="str">
        <f t="shared" si="22"/>
        <v/>
      </c>
      <c r="AC288" s="47" t="str">
        <f t="shared" si="23"/>
        <v/>
      </c>
      <c r="AD288" s="47" t="str">
        <f t="shared" si="24"/>
        <v/>
      </c>
      <c r="AE288" s="47" t="str">
        <f>IF(L181="","",L181)</f>
        <v/>
      </c>
      <c r="AF288" s="40" t="str">
        <f>IF(Z288&lt;&gt;"",IF(AG117="",""")],","), ac("),"")</f>
        <v/>
      </c>
    </row>
    <row r="289" spans="1:32" ht="24.75" hidden="1" x14ac:dyDescent="0.4">
      <c r="A289" s="9" t="str">
        <f t="shared" si="27"/>
        <v>/* 18 */   [ac("", "cp0","")],</v>
      </c>
      <c r="B289" s="9">
        <f t="shared" si="25"/>
        <v>18</v>
      </c>
      <c r="C289" s="9" t="str">
        <f>IF(D289="","",IF(F289="",A289,_xlfn.CONCAT("/* ",B289,"*/      ",E289:AF289)))</f>
        <v/>
      </c>
      <c r="D289" s="39" t="str">
        <f>IF(D182="","","hay letras")</f>
        <v/>
      </c>
      <c r="E289" s="40" t="s">
        <v>52</v>
      </c>
      <c r="F289" s="48" t="str">
        <f>IF(E182="","",E182)</f>
        <v/>
      </c>
      <c r="G289" s="49" t="s">
        <v>53</v>
      </c>
      <c r="H289" s="48" t="str">
        <f t="shared" si="19"/>
        <v/>
      </c>
      <c r="I289" s="49" t="s">
        <v>54</v>
      </c>
      <c r="J289" s="48" t="str">
        <f>IF(F182="","",F182)</f>
        <v/>
      </c>
      <c r="K289" s="40" t="str">
        <f t="shared" si="26"/>
        <v/>
      </c>
      <c r="L289" s="50" t="str">
        <f>IF(G182="","",G182)</f>
        <v/>
      </c>
      <c r="M289" s="51" t="str">
        <f t="shared" si="10"/>
        <v/>
      </c>
      <c r="N289" s="52" t="str">
        <f t="shared" si="11"/>
        <v/>
      </c>
      <c r="O289" s="50" t="str">
        <f t="shared" si="20"/>
        <v/>
      </c>
      <c r="P289" s="53" t="str">
        <f t="shared" si="12"/>
        <v/>
      </c>
      <c r="Q289" s="54" t="str">
        <f>IF(H182="","",H182)</f>
        <v/>
      </c>
      <c r="R289" s="40" t="str">
        <f t="shared" si="13"/>
        <v/>
      </c>
      <c r="S289" s="48" t="str">
        <f>IF(I182="","",I182)</f>
        <v/>
      </c>
      <c r="T289" s="48" t="str">
        <f t="shared" si="14"/>
        <v/>
      </c>
      <c r="U289" s="48" t="str">
        <f t="shared" si="15"/>
        <v/>
      </c>
      <c r="V289" s="48" t="str">
        <f t="shared" si="16"/>
        <v/>
      </c>
      <c r="W289" s="48" t="str">
        <f t="shared" si="17"/>
        <v/>
      </c>
      <c r="X289" s="48" t="str">
        <f>IF(J182="","",J182)</f>
        <v/>
      </c>
      <c r="Y289" s="40" t="str">
        <f t="shared" si="18"/>
        <v/>
      </c>
      <c r="Z289" s="54" t="str">
        <f>IF(K182="","",K182)</f>
        <v/>
      </c>
      <c r="AA289" s="54" t="str">
        <f t="shared" si="21"/>
        <v/>
      </c>
      <c r="AB289" s="54" t="str">
        <f t="shared" si="22"/>
        <v/>
      </c>
      <c r="AC289" s="54" t="str">
        <f t="shared" si="23"/>
        <v/>
      </c>
      <c r="AD289" s="54" t="str">
        <f t="shared" si="24"/>
        <v/>
      </c>
      <c r="AE289" s="54" t="str">
        <f>IF(L182="","",L182)</f>
        <v/>
      </c>
      <c r="AF289" s="40" t="str">
        <f>IF(Z289&lt;&gt;"",IF(AG118="",""")],","), ac("),"")</f>
        <v/>
      </c>
    </row>
    <row r="290" spans="1:32" ht="24.75" hidden="1" x14ac:dyDescent="0.4">
      <c r="A290" s="9" t="str">
        <f t="shared" si="27"/>
        <v>/* 19 */   [ac("", "cp0","")],</v>
      </c>
      <c r="B290" s="9">
        <f t="shared" si="25"/>
        <v>19</v>
      </c>
      <c r="C290" s="9" t="str">
        <f>IF(D290="","",IF(F290="",A290,_xlfn.CONCAT("/* ",B290,"*/      ",E290:AF290)))</f>
        <v/>
      </c>
      <c r="D290" s="39" t="str">
        <f>IF(D183="","","hay letras")</f>
        <v/>
      </c>
      <c r="E290" s="40" t="s">
        <v>52</v>
      </c>
      <c r="F290" s="41" t="str">
        <f>IF(E183="","",E183)</f>
        <v/>
      </c>
      <c r="G290" s="55" t="s">
        <v>53</v>
      </c>
      <c r="H290" s="41" t="str">
        <f t="shared" si="19"/>
        <v/>
      </c>
      <c r="I290" s="55" t="s">
        <v>54</v>
      </c>
      <c r="J290" s="41" t="str">
        <f>IF(F183="","",F183)</f>
        <v/>
      </c>
      <c r="K290" s="40" t="str">
        <f t="shared" si="26"/>
        <v/>
      </c>
      <c r="L290" s="43" t="str">
        <f>IF(G183="","",G183)</f>
        <v/>
      </c>
      <c r="M290" s="44" t="str">
        <f t="shared" si="10"/>
        <v/>
      </c>
      <c r="N290" s="45" t="str">
        <f t="shared" si="11"/>
        <v/>
      </c>
      <c r="O290" s="43" t="str">
        <f t="shared" si="20"/>
        <v/>
      </c>
      <c r="P290" s="46" t="str">
        <f t="shared" si="12"/>
        <v/>
      </c>
      <c r="Q290" s="47" t="str">
        <f>IF(H183="","",H183)</f>
        <v/>
      </c>
      <c r="R290" s="40" t="str">
        <f t="shared" si="13"/>
        <v/>
      </c>
      <c r="S290" s="41" t="str">
        <f>IF(I183="","",I183)</f>
        <v/>
      </c>
      <c r="T290" s="41" t="str">
        <f t="shared" si="14"/>
        <v/>
      </c>
      <c r="U290" s="41" t="str">
        <f t="shared" si="15"/>
        <v/>
      </c>
      <c r="V290" s="41" t="str">
        <f t="shared" si="16"/>
        <v/>
      </c>
      <c r="W290" s="41" t="str">
        <f t="shared" si="17"/>
        <v/>
      </c>
      <c r="X290" s="41" t="str">
        <f>IF(J183="","",J183)</f>
        <v/>
      </c>
      <c r="Y290" s="40" t="str">
        <f t="shared" si="18"/>
        <v/>
      </c>
      <c r="Z290" s="47" t="str">
        <f>IF(K183="","",K183)</f>
        <v/>
      </c>
      <c r="AA290" s="47" t="str">
        <f t="shared" si="21"/>
        <v/>
      </c>
      <c r="AB290" s="47" t="str">
        <f t="shared" si="22"/>
        <v/>
      </c>
      <c r="AC290" s="47" t="str">
        <f t="shared" si="23"/>
        <v/>
      </c>
      <c r="AD290" s="47" t="str">
        <f t="shared" si="24"/>
        <v/>
      </c>
      <c r="AE290" s="47" t="str">
        <f>IF(L183="","",L183)</f>
        <v/>
      </c>
      <c r="AF290" s="40" t="str">
        <f>IF(Z290&lt;&gt;"",IF(AG119="",""")],","), ac("),"")</f>
        <v/>
      </c>
    </row>
    <row r="291" spans="1:32" ht="24.75" hidden="1" x14ac:dyDescent="0.4">
      <c r="A291" s="9" t="str">
        <f t="shared" si="27"/>
        <v>/* 20 */   [ac("", "cp0","")],</v>
      </c>
      <c r="B291" s="9">
        <f t="shared" si="25"/>
        <v>20</v>
      </c>
      <c r="C291" s="9" t="str">
        <f>IF(D291="","",IF(F291="",A291,_xlfn.CONCAT("/* ",B291,"*/      ",E291:AF291)))</f>
        <v/>
      </c>
      <c r="D291" s="39" t="str">
        <f>IF(D184="","","hay letras")</f>
        <v/>
      </c>
      <c r="E291" s="40" t="s">
        <v>52</v>
      </c>
      <c r="F291" s="48" t="str">
        <f>IF(E184="","",E184)</f>
        <v/>
      </c>
      <c r="G291" s="49" t="s">
        <v>53</v>
      </c>
      <c r="H291" s="48" t="str">
        <f t="shared" si="19"/>
        <v/>
      </c>
      <c r="I291" s="49" t="s">
        <v>54</v>
      </c>
      <c r="J291" s="48" t="str">
        <f>IF(F184="","",F184)</f>
        <v/>
      </c>
      <c r="K291" s="40" t="str">
        <f t="shared" si="26"/>
        <v/>
      </c>
      <c r="L291" s="50" t="str">
        <f>IF(G184="","",G184)</f>
        <v/>
      </c>
      <c r="M291" s="51" t="str">
        <f t="shared" si="10"/>
        <v/>
      </c>
      <c r="N291" s="52" t="str">
        <f t="shared" si="11"/>
        <v/>
      </c>
      <c r="O291" s="50" t="str">
        <f t="shared" si="20"/>
        <v/>
      </c>
      <c r="P291" s="53" t="str">
        <f t="shared" si="12"/>
        <v/>
      </c>
      <c r="Q291" s="54" t="str">
        <f>IF(H184="","",H184)</f>
        <v/>
      </c>
      <c r="R291" s="40" t="str">
        <f t="shared" si="13"/>
        <v/>
      </c>
      <c r="S291" s="48" t="str">
        <f>IF(I184="","",I184)</f>
        <v/>
      </c>
      <c r="T291" s="48" t="str">
        <f t="shared" si="14"/>
        <v/>
      </c>
      <c r="U291" s="48" t="str">
        <f t="shared" si="15"/>
        <v/>
      </c>
      <c r="V291" s="48" t="str">
        <f t="shared" si="16"/>
        <v/>
      </c>
      <c r="W291" s="48" t="str">
        <f t="shared" si="17"/>
        <v/>
      </c>
      <c r="X291" s="48" t="str">
        <f>IF(J184="","",J184)</f>
        <v/>
      </c>
      <c r="Y291" s="40" t="str">
        <f t="shared" si="18"/>
        <v/>
      </c>
      <c r="Z291" s="54" t="str">
        <f>IF(K184="","",K184)</f>
        <v/>
      </c>
      <c r="AA291" s="54" t="str">
        <f t="shared" si="21"/>
        <v/>
      </c>
      <c r="AB291" s="54" t="str">
        <f t="shared" si="22"/>
        <v/>
      </c>
      <c r="AC291" s="54" t="str">
        <f t="shared" si="23"/>
        <v/>
      </c>
      <c r="AD291" s="54" t="str">
        <f t="shared" si="24"/>
        <v/>
      </c>
      <c r="AE291" s="54" t="str">
        <f>IF(L184="","",L184)</f>
        <v/>
      </c>
      <c r="AF291" s="40" t="str">
        <f>IF(Z291&lt;&gt;"",IF(AG120="",""")],","), ac("),"")</f>
        <v/>
      </c>
    </row>
    <row r="292" spans="1:32" ht="24.75" hidden="1" x14ac:dyDescent="0.4">
      <c r="A292" s="9" t="str">
        <f t="shared" si="27"/>
        <v>/* 21 */   [ac("", "cp0","")],</v>
      </c>
      <c r="B292" s="9">
        <f t="shared" si="25"/>
        <v>21</v>
      </c>
      <c r="C292" s="9" t="str">
        <f>IF(D292="","",IF(F292="",A292,_xlfn.CONCAT("/* ",B292,"*/      ",E292:AF292)))</f>
        <v/>
      </c>
      <c r="D292" s="39" t="str">
        <f>IF(D185="","","hay letras")</f>
        <v/>
      </c>
      <c r="E292" s="40" t="s">
        <v>52</v>
      </c>
      <c r="F292" s="41" t="str">
        <f>IF(E185="","",E185)</f>
        <v/>
      </c>
      <c r="G292" s="55" t="s">
        <v>53</v>
      </c>
      <c r="H292" s="41" t="str">
        <f t="shared" si="19"/>
        <v/>
      </c>
      <c r="I292" s="55" t="s">
        <v>54</v>
      </c>
      <c r="J292" s="41" t="str">
        <f>IF(F185="","",F185)</f>
        <v/>
      </c>
      <c r="K292" s="40" t="str">
        <f t="shared" si="26"/>
        <v/>
      </c>
      <c r="L292" s="43" t="str">
        <f>IF(G185="","",G185)</f>
        <v/>
      </c>
      <c r="M292" s="44" t="str">
        <f t="shared" si="10"/>
        <v/>
      </c>
      <c r="N292" s="45" t="str">
        <f t="shared" si="11"/>
        <v/>
      </c>
      <c r="O292" s="43" t="str">
        <f t="shared" si="20"/>
        <v/>
      </c>
      <c r="P292" s="46" t="str">
        <f t="shared" si="12"/>
        <v/>
      </c>
      <c r="Q292" s="47" t="str">
        <f>IF(H185="","",H185)</f>
        <v/>
      </c>
      <c r="R292" s="40" t="str">
        <f t="shared" si="13"/>
        <v/>
      </c>
      <c r="S292" s="41" t="str">
        <f>IF(I185="","",I185)</f>
        <v/>
      </c>
      <c r="T292" s="41" t="str">
        <f t="shared" si="14"/>
        <v/>
      </c>
      <c r="U292" s="41" t="str">
        <f t="shared" si="15"/>
        <v/>
      </c>
      <c r="V292" s="41" t="str">
        <f t="shared" si="16"/>
        <v/>
      </c>
      <c r="W292" s="41" t="str">
        <f t="shared" si="17"/>
        <v/>
      </c>
      <c r="X292" s="41" t="str">
        <f>IF(J185="","",J185)</f>
        <v/>
      </c>
      <c r="Y292" s="40" t="str">
        <f t="shared" si="18"/>
        <v/>
      </c>
      <c r="Z292" s="47" t="str">
        <f>IF(K185="","",K185)</f>
        <v/>
      </c>
      <c r="AA292" s="47" t="str">
        <f t="shared" si="21"/>
        <v/>
      </c>
      <c r="AB292" s="47" t="str">
        <f t="shared" si="22"/>
        <v/>
      </c>
      <c r="AC292" s="47" t="str">
        <f t="shared" si="23"/>
        <v/>
      </c>
      <c r="AD292" s="47" t="str">
        <f t="shared" si="24"/>
        <v/>
      </c>
      <c r="AE292" s="47" t="str">
        <f>IF(L185="","",L185)</f>
        <v/>
      </c>
      <c r="AF292" s="40" t="str">
        <f>IF(Z292&lt;&gt;"",IF(AG121="",""")],","), ac("),"")</f>
        <v/>
      </c>
    </row>
    <row r="293" spans="1:32" ht="24.75" hidden="1" x14ac:dyDescent="0.4">
      <c r="A293" s="9" t="str">
        <f t="shared" si="27"/>
        <v>/* 22 */   [ac("", "cp0","")],</v>
      </c>
      <c r="B293" s="9">
        <f t="shared" si="25"/>
        <v>22</v>
      </c>
      <c r="C293" s="9" t="str">
        <f>IF(D293="","",IF(F293="",A293,_xlfn.CONCAT("/* ",B293,"*/      ",E293:AF293)))</f>
        <v/>
      </c>
      <c r="D293" s="39" t="str">
        <f>IF(D186="","","hay letras")</f>
        <v/>
      </c>
      <c r="E293" s="40" t="s">
        <v>52</v>
      </c>
      <c r="F293" s="48" t="str">
        <f>IF(E186="","",E186)</f>
        <v/>
      </c>
      <c r="G293" s="49" t="s">
        <v>53</v>
      </c>
      <c r="H293" s="48" t="str">
        <f t="shared" si="19"/>
        <v/>
      </c>
      <c r="I293" s="49" t="s">
        <v>54</v>
      </c>
      <c r="J293" s="48" t="str">
        <f>IF(F186="","",F186)</f>
        <v/>
      </c>
      <c r="K293" s="40" t="str">
        <f t="shared" si="26"/>
        <v/>
      </c>
      <c r="L293" s="50" t="str">
        <f>IF(G186="","",G186)</f>
        <v/>
      </c>
      <c r="M293" s="51" t="str">
        <f t="shared" si="10"/>
        <v/>
      </c>
      <c r="N293" s="52" t="str">
        <f t="shared" si="11"/>
        <v/>
      </c>
      <c r="O293" s="50" t="str">
        <f t="shared" si="20"/>
        <v/>
      </c>
      <c r="P293" s="53" t="str">
        <f t="shared" si="12"/>
        <v/>
      </c>
      <c r="Q293" s="54" t="str">
        <f>IF(H186="","",H186)</f>
        <v/>
      </c>
      <c r="R293" s="40" t="str">
        <f t="shared" si="13"/>
        <v/>
      </c>
      <c r="S293" s="48" t="str">
        <f>IF(I186="","",I186)</f>
        <v/>
      </c>
      <c r="T293" s="48" t="str">
        <f t="shared" si="14"/>
        <v/>
      </c>
      <c r="U293" s="48" t="str">
        <f t="shared" si="15"/>
        <v/>
      </c>
      <c r="V293" s="48" t="str">
        <f t="shared" si="16"/>
        <v/>
      </c>
      <c r="W293" s="48" t="str">
        <f t="shared" si="17"/>
        <v/>
      </c>
      <c r="X293" s="48" t="str">
        <f>IF(J186="","",J186)</f>
        <v/>
      </c>
      <c r="Y293" s="40" t="str">
        <f t="shared" si="18"/>
        <v/>
      </c>
      <c r="Z293" s="54" t="str">
        <f>IF(K186="","",K186)</f>
        <v/>
      </c>
      <c r="AA293" s="54" t="str">
        <f t="shared" si="21"/>
        <v/>
      </c>
      <c r="AB293" s="54" t="str">
        <f t="shared" si="22"/>
        <v/>
      </c>
      <c r="AC293" s="54" t="str">
        <f t="shared" si="23"/>
        <v/>
      </c>
      <c r="AD293" s="54" t="str">
        <f t="shared" si="24"/>
        <v/>
      </c>
      <c r="AE293" s="54" t="str">
        <f>IF(L186="","",L186)</f>
        <v/>
      </c>
      <c r="AF293" s="40" t="str">
        <f>IF(Z293&lt;&gt;"",IF(AG122="",""")],","), ac("),"")</f>
        <v/>
      </c>
    </row>
    <row r="294" spans="1:32" ht="24.75" hidden="1" x14ac:dyDescent="0.4">
      <c r="A294" s="9" t="str">
        <f t="shared" si="27"/>
        <v>/* 23 */   [ac("", "cp0","")],</v>
      </c>
      <c r="B294" s="9">
        <f t="shared" si="25"/>
        <v>23</v>
      </c>
      <c r="C294" s="9" t="str">
        <f>IF(D294="","",IF(F294="",A294,_xlfn.CONCAT("/* ",B294,"*/      ",E294:AF294)))</f>
        <v/>
      </c>
      <c r="D294" s="39" t="str">
        <f>IF(D187="","","hay letras")</f>
        <v/>
      </c>
      <c r="E294" s="40" t="s">
        <v>52</v>
      </c>
      <c r="F294" s="41" t="str">
        <f>IF(E187="","",E187)</f>
        <v/>
      </c>
      <c r="G294" s="55" t="s">
        <v>53</v>
      </c>
      <c r="H294" s="41" t="str">
        <f t="shared" si="19"/>
        <v/>
      </c>
      <c r="I294" s="55" t="s">
        <v>54</v>
      </c>
      <c r="J294" s="41" t="str">
        <f>IF(F187="","",F187)</f>
        <v/>
      </c>
      <c r="K294" s="40" t="str">
        <f t="shared" si="26"/>
        <v/>
      </c>
      <c r="L294" s="43" t="str">
        <f>IF(G187="","",G187)</f>
        <v/>
      </c>
      <c r="M294" s="44" t="str">
        <f t="shared" si="10"/>
        <v/>
      </c>
      <c r="N294" s="45" t="str">
        <f t="shared" si="11"/>
        <v/>
      </c>
      <c r="O294" s="43" t="str">
        <f t="shared" si="20"/>
        <v/>
      </c>
      <c r="P294" s="46" t="str">
        <f t="shared" si="12"/>
        <v/>
      </c>
      <c r="Q294" s="47" t="str">
        <f>IF(H187="","",H187)</f>
        <v/>
      </c>
      <c r="R294" s="40" t="str">
        <f t="shared" si="13"/>
        <v/>
      </c>
      <c r="S294" s="41" t="str">
        <f>IF(I187="","",I187)</f>
        <v/>
      </c>
      <c r="T294" s="41" t="str">
        <f t="shared" si="14"/>
        <v/>
      </c>
      <c r="U294" s="41" t="str">
        <f t="shared" si="15"/>
        <v/>
      </c>
      <c r="V294" s="41" t="str">
        <f t="shared" si="16"/>
        <v/>
      </c>
      <c r="W294" s="41" t="str">
        <f t="shared" si="17"/>
        <v/>
      </c>
      <c r="X294" s="41" t="str">
        <f>IF(J187="","",J187)</f>
        <v/>
      </c>
      <c r="Y294" s="40" t="str">
        <f t="shared" si="18"/>
        <v/>
      </c>
      <c r="Z294" s="47" t="str">
        <f>IF(K187="","",K187)</f>
        <v/>
      </c>
      <c r="AA294" s="47" t="str">
        <f t="shared" si="21"/>
        <v/>
      </c>
      <c r="AB294" s="47" t="str">
        <f t="shared" si="22"/>
        <v/>
      </c>
      <c r="AC294" s="47" t="str">
        <f t="shared" si="23"/>
        <v/>
      </c>
      <c r="AD294" s="47" t="str">
        <f t="shared" si="24"/>
        <v/>
      </c>
      <c r="AE294" s="47" t="str">
        <f>IF(L187="","",L187)</f>
        <v/>
      </c>
      <c r="AF294" s="40" t="str">
        <f>IF(Z294&lt;&gt;"",IF(AG123="",""")],","), ac("),"")</f>
        <v/>
      </c>
    </row>
    <row r="295" spans="1:32" s="9" customFormat="1" ht="24.75" hidden="1" x14ac:dyDescent="0.4">
      <c r="A295" s="9" t="str">
        <f t="shared" si="27"/>
        <v>/* 24 */   [ac("", "cp0","")],</v>
      </c>
      <c r="B295" s="9">
        <f t="shared" si="25"/>
        <v>24</v>
      </c>
      <c r="C295" s="9" t="str">
        <f>IF(D295="","",IF(F295="",A295,_xlfn.CONCAT("/* ",B295,"*/      ",E295:AF295)))</f>
        <v/>
      </c>
      <c r="D295" s="39" t="str">
        <f>IF(D188="","","hay letras")</f>
        <v/>
      </c>
      <c r="E295" s="40" t="s">
        <v>52</v>
      </c>
      <c r="F295" s="48" t="str">
        <f>IF(E188="","",E188)</f>
        <v/>
      </c>
      <c r="G295" s="49" t="s">
        <v>53</v>
      </c>
      <c r="H295" s="48" t="str">
        <f t="shared" si="19"/>
        <v/>
      </c>
      <c r="I295" s="49" t="s">
        <v>54</v>
      </c>
      <c r="J295" s="48" t="str">
        <f>IF(F188="","",F188)</f>
        <v/>
      </c>
      <c r="K295" s="40" t="str">
        <f t="shared" si="26"/>
        <v/>
      </c>
      <c r="L295" s="50" t="str">
        <f>IF(G188="","",G188)</f>
        <v/>
      </c>
      <c r="M295" s="51" t="str">
        <f t="shared" si="10"/>
        <v/>
      </c>
      <c r="N295" s="52" t="str">
        <f t="shared" si="11"/>
        <v/>
      </c>
      <c r="O295" s="50" t="str">
        <f t="shared" si="20"/>
        <v/>
      </c>
      <c r="P295" s="53" t="str">
        <f t="shared" si="12"/>
        <v/>
      </c>
      <c r="Q295" s="54" t="str">
        <f>IF(H188="","",H188)</f>
        <v/>
      </c>
      <c r="R295" s="40" t="str">
        <f t="shared" si="13"/>
        <v/>
      </c>
      <c r="S295" s="48" t="str">
        <f>IF(I188="","",I188)</f>
        <v/>
      </c>
      <c r="T295" s="48" t="str">
        <f t="shared" si="14"/>
        <v/>
      </c>
      <c r="U295" s="48" t="str">
        <f t="shared" si="15"/>
        <v/>
      </c>
      <c r="V295" s="48" t="str">
        <f t="shared" si="16"/>
        <v/>
      </c>
      <c r="W295" s="48" t="str">
        <f t="shared" si="17"/>
        <v/>
      </c>
      <c r="X295" s="48" t="str">
        <f>IF(J188="","",J188)</f>
        <v/>
      </c>
      <c r="Y295" s="40" t="str">
        <f t="shared" si="18"/>
        <v/>
      </c>
      <c r="Z295" s="54" t="str">
        <f>IF(K188="","",K188)</f>
        <v/>
      </c>
      <c r="AA295" s="54" t="str">
        <f t="shared" si="21"/>
        <v/>
      </c>
      <c r="AB295" s="54" t="str">
        <f t="shared" si="22"/>
        <v/>
      </c>
      <c r="AC295" s="54" t="str">
        <f t="shared" si="23"/>
        <v/>
      </c>
      <c r="AD295" s="54" t="str">
        <f t="shared" si="24"/>
        <v/>
      </c>
      <c r="AE295" s="54" t="str">
        <f>IF(L188="","",L188)</f>
        <v/>
      </c>
      <c r="AF295" s="40" t="str">
        <f>IF(Z295&lt;&gt;"",IF(AG124="",""")],","), ac("),"")</f>
        <v/>
      </c>
    </row>
    <row r="296" spans="1:32" ht="24.75" hidden="1" x14ac:dyDescent="0.4">
      <c r="A296" s="9" t="str">
        <f t="shared" si="27"/>
        <v>/* 25 */   [ac("", "cp0","")],</v>
      </c>
      <c r="B296" s="9">
        <f t="shared" si="25"/>
        <v>25</v>
      </c>
      <c r="C296" s="9" t="str">
        <f>IF(D296="","",IF(F296="",A296,_xlfn.CONCAT("/* ",B296,"*/      ",E296:AF296)))</f>
        <v/>
      </c>
      <c r="D296" s="39" t="str">
        <f>IF(D189="","","hay letras")</f>
        <v/>
      </c>
      <c r="E296" s="40" t="s">
        <v>52</v>
      </c>
      <c r="F296" s="41" t="str">
        <f>IF(E189="","",E189)</f>
        <v/>
      </c>
      <c r="G296" s="55" t="s">
        <v>53</v>
      </c>
      <c r="H296" s="41" t="str">
        <f t="shared" si="19"/>
        <v/>
      </c>
      <c r="I296" s="55" t="s">
        <v>54</v>
      </c>
      <c r="J296" s="41" t="str">
        <f>IF(F189="","",F189)</f>
        <v/>
      </c>
      <c r="K296" s="40" t="str">
        <f t="shared" si="26"/>
        <v/>
      </c>
      <c r="L296" s="43" t="str">
        <f>IF(G189="","",G189)</f>
        <v/>
      </c>
      <c r="M296" s="44" t="str">
        <f t="shared" si="10"/>
        <v/>
      </c>
      <c r="N296" s="45" t="str">
        <f t="shared" si="11"/>
        <v/>
      </c>
      <c r="O296" s="43" t="str">
        <f t="shared" si="20"/>
        <v/>
      </c>
      <c r="P296" s="46" t="str">
        <f t="shared" si="12"/>
        <v/>
      </c>
      <c r="Q296" s="47" t="str">
        <f>IF(H189="","",H189)</f>
        <v/>
      </c>
      <c r="R296" s="40" t="str">
        <f t="shared" si="13"/>
        <v/>
      </c>
      <c r="S296" s="41" t="str">
        <f>IF(I189="","",I189)</f>
        <v/>
      </c>
      <c r="T296" s="41" t="str">
        <f t="shared" si="14"/>
        <v/>
      </c>
      <c r="U296" s="41" t="str">
        <f t="shared" si="15"/>
        <v/>
      </c>
      <c r="V296" s="41" t="str">
        <f t="shared" si="16"/>
        <v/>
      </c>
      <c r="W296" s="41" t="str">
        <f t="shared" si="17"/>
        <v/>
      </c>
      <c r="X296" s="41" t="str">
        <f>IF(J189="","",J189)</f>
        <v/>
      </c>
      <c r="Y296" s="40" t="str">
        <f t="shared" si="18"/>
        <v/>
      </c>
      <c r="Z296" s="47" t="str">
        <f>IF(K189="","",K189)</f>
        <v/>
      </c>
      <c r="AA296" s="47" t="str">
        <f t="shared" si="21"/>
        <v/>
      </c>
      <c r="AB296" s="47" t="str">
        <f t="shared" si="22"/>
        <v/>
      </c>
      <c r="AC296" s="47" t="str">
        <f t="shared" si="23"/>
        <v/>
      </c>
      <c r="AD296" s="47" t="str">
        <f t="shared" si="24"/>
        <v/>
      </c>
      <c r="AE296" s="47" t="str">
        <f>IF(L189="","",L189)</f>
        <v/>
      </c>
      <c r="AF296" s="40" t="str">
        <f>IF(Z296&lt;&gt;"",IF(AG125="",""")],","), ac("),"")</f>
        <v/>
      </c>
    </row>
    <row r="297" spans="1:32" ht="24.75" hidden="1" x14ac:dyDescent="0.4">
      <c r="A297" s="9" t="str">
        <f t="shared" si="27"/>
        <v>/* 26 */   [ac("", "cp0","")],</v>
      </c>
      <c r="B297" s="9">
        <f t="shared" si="25"/>
        <v>26</v>
      </c>
      <c r="C297" s="9" t="str">
        <f>IF(D297="","",IF(F297="",A297,_xlfn.CONCAT("/* ",B297,"*/      ",E297:AF297)))</f>
        <v/>
      </c>
      <c r="D297" s="39" t="str">
        <f>IF(D190="","","hay letras")</f>
        <v/>
      </c>
      <c r="E297" s="40" t="s">
        <v>52</v>
      </c>
      <c r="F297" s="48" t="str">
        <f>IF(E190="","",E190)</f>
        <v/>
      </c>
      <c r="G297" s="49" t="s">
        <v>53</v>
      </c>
      <c r="H297" s="48" t="str">
        <f t="shared" si="19"/>
        <v/>
      </c>
      <c r="I297" s="49" t="s">
        <v>54</v>
      </c>
      <c r="J297" s="48" t="str">
        <f>IF(F190="","",F190)</f>
        <v/>
      </c>
      <c r="K297" s="40" t="str">
        <f t="shared" si="26"/>
        <v/>
      </c>
      <c r="L297" s="50" t="str">
        <f>IF(G190="","",G190)</f>
        <v/>
      </c>
      <c r="M297" s="51" t="str">
        <f t="shared" si="10"/>
        <v/>
      </c>
      <c r="N297" s="52" t="str">
        <f t="shared" si="11"/>
        <v/>
      </c>
      <c r="O297" s="50" t="str">
        <f t="shared" si="20"/>
        <v/>
      </c>
      <c r="P297" s="53" t="str">
        <f t="shared" si="12"/>
        <v/>
      </c>
      <c r="Q297" s="54" t="str">
        <f>IF(H190="","",H190)</f>
        <v/>
      </c>
      <c r="R297" s="40" t="str">
        <f t="shared" si="13"/>
        <v/>
      </c>
      <c r="S297" s="48" t="str">
        <f>IF(I190="","",I190)</f>
        <v/>
      </c>
      <c r="T297" s="48" t="str">
        <f t="shared" si="14"/>
        <v/>
      </c>
      <c r="U297" s="48" t="str">
        <f t="shared" si="15"/>
        <v/>
      </c>
      <c r="V297" s="48" t="str">
        <f t="shared" si="16"/>
        <v/>
      </c>
      <c r="W297" s="48" t="str">
        <f t="shared" si="17"/>
        <v/>
      </c>
      <c r="X297" s="48" t="str">
        <f>IF(J190="","",J190)</f>
        <v/>
      </c>
      <c r="Y297" s="40" t="str">
        <f t="shared" si="18"/>
        <v/>
      </c>
      <c r="Z297" s="54" t="str">
        <f>IF(K190="","",K190)</f>
        <v/>
      </c>
      <c r="AA297" s="54" t="str">
        <f t="shared" si="21"/>
        <v/>
      </c>
      <c r="AB297" s="54" t="str">
        <f t="shared" si="22"/>
        <v/>
      </c>
      <c r="AC297" s="54" t="str">
        <f t="shared" si="23"/>
        <v/>
      </c>
      <c r="AD297" s="54" t="str">
        <f t="shared" si="24"/>
        <v/>
      </c>
      <c r="AE297" s="54" t="str">
        <f>IF(L190="","",L190)</f>
        <v/>
      </c>
      <c r="AF297" s="40" t="str">
        <f>IF(Z297&lt;&gt;"",IF(AG126="",""")],","), ac("),"")</f>
        <v/>
      </c>
    </row>
    <row r="298" spans="1:32" ht="24.75" hidden="1" x14ac:dyDescent="0.4">
      <c r="A298" s="9" t="str">
        <f t="shared" si="27"/>
        <v>/* 27 */   [ac("", "cp0","")],</v>
      </c>
      <c r="B298" s="9">
        <f t="shared" si="25"/>
        <v>27</v>
      </c>
      <c r="C298" s="9" t="str">
        <f>IF(D298="","",IF(F298="",A298,_xlfn.CONCAT("/* ",B298,"*/      ",E298:AF298)))</f>
        <v/>
      </c>
      <c r="D298" s="39" t="str">
        <f>IF(D191="","","hay letras")</f>
        <v/>
      </c>
      <c r="E298" s="40" t="s">
        <v>52</v>
      </c>
      <c r="F298" s="41" t="str">
        <f>IF(E191="","",E191)</f>
        <v/>
      </c>
      <c r="G298" s="55" t="s">
        <v>53</v>
      </c>
      <c r="H298" s="41" t="str">
        <f t="shared" si="19"/>
        <v/>
      </c>
      <c r="I298" s="55" t="s">
        <v>54</v>
      </c>
      <c r="J298" s="41" t="str">
        <f>IF(F191="","",F191)</f>
        <v/>
      </c>
      <c r="K298" s="40" t="str">
        <f t="shared" si="26"/>
        <v/>
      </c>
      <c r="L298" s="43" t="str">
        <f>IF(G191="","",G191)</f>
        <v/>
      </c>
      <c r="M298" s="44" t="str">
        <f t="shared" si="10"/>
        <v/>
      </c>
      <c r="N298" s="45" t="str">
        <f t="shared" si="11"/>
        <v/>
      </c>
      <c r="O298" s="43" t="str">
        <f t="shared" si="20"/>
        <v/>
      </c>
      <c r="P298" s="46" t="str">
        <f t="shared" si="12"/>
        <v/>
      </c>
      <c r="Q298" s="47" t="str">
        <f>IF(H191="","",H191)</f>
        <v/>
      </c>
      <c r="R298" s="40" t="str">
        <f t="shared" si="13"/>
        <v/>
      </c>
      <c r="S298" s="41" t="str">
        <f>IF(I191="","",I191)</f>
        <v/>
      </c>
      <c r="T298" s="41" t="str">
        <f t="shared" si="14"/>
        <v/>
      </c>
      <c r="U298" s="41" t="str">
        <f t="shared" si="15"/>
        <v/>
      </c>
      <c r="V298" s="41" t="str">
        <f t="shared" si="16"/>
        <v/>
      </c>
      <c r="W298" s="41" t="str">
        <f t="shared" si="17"/>
        <v/>
      </c>
      <c r="X298" s="41" t="str">
        <f>IF(J191="","",J191)</f>
        <v/>
      </c>
      <c r="Y298" s="40" t="str">
        <f t="shared" si="18"/>
        <v/>
      </c>
      <c r="Z298" s="47" t="str">
        <f>IF(K191="","",K191)</f>
        <v/>
      </c>
      <c r="AA298" s="47" t="str">
        <f t="shared" si="21"/>
        <v/>
      </c>
      <c r="AB298" s="47" t="str">
        <f t="shared" si="22"/>
        <v/>
      </c>
      <c r="AC298" s="47" t="str">
        <f t="shared" si="23"/>
        <v/>
      </c>
      <c r="AD298" s="47" t="str">
        <f t="shared" si="24"/>
        <v/>
      </c>
      <c r="AE298" s="47" t="str">
        <f>IF(L191="","",L191)</f>
        <v/>
      </c>
      <c r="AF298" s="40" t="str">
        <f>IF(Z298&lt;&gt;"",IF(AG127="",""")],","), ac("),"")</f>
        <v/>
      </c>
    </row>
    <row r="299" spans="1:32" ht="24.75" hidden="1" x14ac:dyDescent="0.4">
      <c r="A299" s="9" t="str">
        <f t="shared" si="27"/>
        <v>/* 28 */   [ac("", "cp0","")],</v>
      </c>
      <c r="B299" s="9">
        <f t="shared" si="25"/>
        <v>28</v>
      </c>
      <c r="C299" s="9" t="str">
        <f>IF(D299="","",IF(F299="",A299,_xlfn.CONCAT("/* ",B299,"*/      ",E299:AF299)))</f>
        <v/>
      </c>
      <c r="D299" s="39" t="str">
        <f>IF(D192="","","hay letras")</f>
        <v/>
      </c>
      <c r="E299" s="40" t="s">
        <v>52</v>
      </c>
      <c r="F299" s="48" t="str">
        <f>IF(E192="","",E192)</f>
        <v/>
      </c>
      <c r="G299" s="49" t="s">
        <v>53</v>
      </c>
      <c r="H299" s="48" t="str">
        <f t="shared" si="19"/>
        <v/>
      </c>
      <c r="I299" s="49" t="s">
        <v>54</v>
      </c>
      <c r="J299" s="48" t="str">
        <f>IF(F192="","",F192)</f>
        <v/>
      </c>
      <c r="K299" s="40" t="str">
        <f t="shared" si="26"/>
        <v/>
      </c>
      <c r="L299" s="50" t="str">
        <f>IF(G192="","",G192)</f>
        <v/>
      </c>
      <c r="M299" s="51" t="str">
        <f t="shared" si="10"/>
        <v/>
      </c>
      <c r="N299" s="52" t="str">
        <f t="shared" si="11"/>
        <v/>
      </c>
      <c r="O299" s="50" t="str">
        <f t="shared" si="20"/>
        <v/>
      </c>
      <c r="P299" s="53" t="str">
        <f t="shared" si="12"/>
        <v/>
      </c>
      <c r="Q299" s="54" t="str">
        <f>IF(H192="","",H192)</f>
        <v/>
      </c>
      <c r="R299" s="40" t="str">
        <f t="shared" si="13"/>
        <v/>
      </c>
      <c r="S299" s="48" t="str">
        <f>IF(I192="","",I192)</f>
        <v/>
      </c>
      <c r="T299" s="48" t="str">
        <f t="shared" si="14"/>
        <v/>
      </c>
      <c r="U299" s="48" t="str">
        <f t="shared" si="15"/>
        <v/>
      </c>
      <c r="V299" s="48" t="str">
        <f t="shared" si="16"/>
        <v/>
      </c>
      <c r="W299" s="48" t="str">
        <f t="shared" si="17"/>
        <v/>
      </c>
      <c r="X299" s="48" t="str">
        <f>IF(J192="","",J192)</f>
        <v/>
      </c>
      <c r="Y299" s="40" t="str">
        <f t="shared" si="18"/>
        <v/>
      </c>
      <c r="Z299" s="54" t="str">
        <f>IF(K192="","",K192)</f>
        <v/>
      </c>
      <c r="AA299" s="54" t="str">
        <f t="shared" si="21"/>
        <v/>
      </c>
      <c r="AB299" s="54" t="str">
        <f t="shared" si="22"/>
        <v/>
      </c>
      <c r="AC299" s="54" t="str">
        <f t="shared" si="23"/>
        <v/>
      </c>
      <c r="AD299" s="54" t="str">
        <f t="shared" si="24"/>
        <v/>
      </c>
      <c r="AE299" s="54" t="str">
        <f>IF(L192="","",L192)</f>
        <v/>
      </c>
      <c r="AF299" s="40" t="str">
        <f>IF(Z299&lt;&gt;"",IF(AG128="",""")],","), ac("),"")</f>
        <v/>
      </c>
    </row>
    <row r="300" spans="1:32" ht="24.75" hidden="1" x14ac:dyDescent="0.4">
      <c r="A300" s="9" t="str">
        <f t="shared" si="27"/>
        <v>/* 29 */   [ac("", "cp0","")],</v>
      </c>
      <c r="B300" s="9">
        <f t="shared" si="25"/>
        <v>29</v>
      </c>
      <c r="C300" s="9" t="str">
        <f>IF(D300="","",IF(F300="",A300,_xlfn.CONCAT("/* ",B300,"*/      ",E300:AF300)))</f>
        <v/>
      </c>
      <c r="D300" s="39" t="str">
        <f>IF(D193="","","hay letras")</f>
        <v/>
      </c>
      <c r="E300" s="40" t="s">
        <v>52</v>
      </c>
      <c r="F300" s="41" t="str">
        <f>IF(E193="","",E193)</f>
        <v/>
      </c>
      <c r="G300" s="55" t="s">
        <v>53</v>
      </c>
      <c r="H300" s="41" t="str">
        <f t="shared" si="19"/>
        <v/>
      </c>
      <c r="I300" s="55" t="s">
        <v>54</v>
      </c>
      <c r="J300" s="41" t="str">
        <f>IF(F193="","",F193)</f>
        <v/>
      </c>
      <c r="K300" s="40" t="str">
        <f t="shared" si="26"/>
        <v/>
      </c>
      <c r="L300" s="43" t="str">
        <f>IF(G193="","",G193)</f>
        <v/>
      </c>
      <c r="M300" s="44" t="str">
        <f t="shared" si="10"/>
        <v/>
      </c>
      <c r="N300" s="45" t="str">
        <f t="shared" si="11"/>
        <v/>
      </c>
      <c r="O300" s="43" t="str">
        <f t="shared" si="20"/>
        <v/>
      </c>
      <c r="P300" s="46" t="str">
        <f t="shared" si="12"/>
        <v/>
      </c>
      <c r="Q300" s="47" t="str">
        <f>IF(H193="","",H193)</f>
        <v/>
      </c>
      <c r="R300" s="40" t="str">
        <f t="shared" si="13"/>
        <v/>
      </c>
      <c r="S300" s="41" t="str">
        <f>IF(I193="","",I193)</f>
        <v/>
      </c>
      <c r="T300" s="41" t="str">
        <f t="shared" si="14"/>
        <v/>
      </c>
      <c r="U300" s="41" t="str">
        <f t="shared" si="15"/>
        <v/>
      </c>
      <c r="V300" s="41" t="str">
        <f t="shared" si="16"/>
        <v/>
      </c>
      <c r="W300" s="41" t="str">
        <f t="shared" si="17"/>
        <v/>
      </c>
      <c r="X300" s="41" t="str">
        <f>IF(J193="","",J193)</f>
        <v/>
      </c>
      <c r="Y300" s="40" t="str">
        <f t="shared" si="18"/>
        <v/>
      </c>
      <c r="Z300" s="47" t="str">
        <f>IF(K193="","",K193)</f>
        <v/>
      </c>
      <c r="AA300" s="47" t="str">
        <f t="shared" si="21"/>
        <v/>
      </c>
      <c r="AB300" s="47" t="str">
        <f t="shared" si="22"/>
        <v/>
      </c>
      <c r="AC300" s="47" t="str">
        <f t="shared" si="23"/>
        <v/>
      </c>
      <c r="AD300" s="47" t="str">
        <f t="shared" si="24"/>
        <v/>
      </c>
      <c r="AE300" s="47" t="str">
        <f>IF(L193="","",L193)</f>
        <v/>
      </c>
      <c r="AF300" s="40" t="str">
        <f>IF(Z300&lt;&gt;"",IF(AG129="",""")],","), ac("),"")</f>
        <v/>
      </c>
    </row>
    <row r="301" spans="1:32" ht="24.75" hidden="1" x14ac:dyDescent="0.4">
      <c r="A301" s="9" t="str">
        <f t="shared" si="27"/>
        <v>/* 30 */   [ac("", "cp0","")],</v>
      </c>
      <c r="B301" s="9">
        <f t="shared" si="25"/>
        <v>30</v>
      </c>
      <c r="C301" s="9" t="str">
        <f>IF(D301="","",IF(F301="",A301,_xlfn.CONCAT("/* ",B301,"*/      ",E301:AF301)))</f>
        <v/>
      </c>
      <c r="D301" s="39" t="str">
        <f>IF(D194="","","hay letras")</f>
        <v/>
      </c>
      <c r="E301" s="40" t="s">
        <v>52</v>
      </c>
      <c r="F301" s="48" t="str">
        <f>IF(E194="","",E194)</f>
        <v/>
      </c>
      <c r="G301" s="49" t="s">
        <v>53</v>
      </c>
      <c r="H301" s="48" t="str">
        <f t="shared" si="19"/>
        <v/>
      </c>
      <c r="I301" s="49" t="s">
        <v>54</v>
      </c>
      <c r="J301" s="48" t="str">
        <f>IF(F194="","",F194)</f>
        <v/>
      </c>
      <c r="K301" s="40" t="str">
        <f t="shared" si="26"/>
        <v/>
      </c>
      <c r="L301" s="50" t="str">
        <f>IF(G194="","",G194)</f>
        <v/>
      </c>
      <c r="M301" s="51" t="str">
        <f t="shared" si="10"/>
        <v/>
      </c>
      <c r="N301" s="52" t="str">
        <f t="shared" si="11"/>
        <v/>
      </c>
      <c r="O301" s="50" t="str">
        <f t="shared" si="20"/>
        <v/>
      </c>
      <c r="P301" s="53" t="str">
        <f t="shared" si="12"/>
        <v/>
      </c>
      <c r="Q301" s="54" t="str">
        <f>IF(H194="","",H194)</f>
        <v/>
      </c>
      <c r="R301" s="40" t="str">
        <f t="shared" si="13"/>
        <v/>
      </c>
      <c r="S301" s="48" t="str">
        <f>IF(I194="","",I194)</f>
        <v/>
      </c>
      <c r="T301" s="48" t="str">
        <f t="shared" si="14"/>
        <v/>
      </c>
      <c r="U301" s="48" t="str">
        <f t="shared" si="15"/>
        <v/>
      </c>
      <c r="V301" s="48" t="str">
        <f t="shared" si="16"/>
        <v/>
      </c>
      <c r="W301" s="48" t="str">
        <f t="shared" si="17"/>
        <v/>
      </c>
      <c r="X301" s="48" t="str">
        <f>IF(J194="","",J194)</f>
        <v/>
      </c>
      <c r="Y301" s="40" t="str">
        <f t="shared" si="18"/>
        <v/>
      </c>
      <c r="Z301" s="54" t="str">
        <f>IF(K194="","",K194)</f>
        <v/>
      </c>
      <c r="AA301" s="54" t="str">
        <f t="shared" si="21"/>
        <v/>
      </c>
      <c r="AB301" s="54" t="str">
        <f t="shared" si="22"/>
        <v/>
      </c>
      <c r="AC301" s="54" t="str">
        <f t="shared" si="23"/>
        <v/>
      </c>
      <c r="AD301" s="54" t="str">
        <f t="shared" si="24"/>
        <v/>
      </c>
      <c r="AE301" s="54" t="str">
        <f>IF(L194="","",L194)</f>
        <v/>
      </c>
      <c r="AF301" s="40" t="str">
        <f>IF(Z301&lt;&gt;"",IF(AG130="",""")],","), ac("),"")</f>
        <v/>
      </c>
    </row>
    <row r="302" spans="1:32" s="9" customFormat="1" ht="24.75" hidden="1" x14ac:dyDescent="0.4">
      <c r="A302" s="9" t="str">
        <f t="shared" si="27"/>
        <v>/* 31 */   [ac("", "cp0","")],</v>
      </c>
      <c r="B302" s="9">
        <f t="shared" si="25"/>
        <v>31</v>
      </c>
      <c r="C302" s="9" t="str">
        <f>IF(D302="","",IF(F302="",A302,_xlfn.CONCAT("/* ",B302,"*/      ",E302:AF302)))</f>
        <v/>
      </c>
      <c r="D302" s="39" t="str">
        <f>IF(D195="","","hay letras")</f>
        <v/>
      </c>
      <c r="E302" s="40" t="s">
        <v>52</v>
      </c>
      <c r="F302" s="41" t="str">
        <f>IF(E195="","",E195)</f>
        <v/>
      </c>
      <c r="G302" s="55" t="s">
        <v>53</v>
      </c>
      <c r="H302" s="41" t="str">
        <f t="shared" si="19"/>
        <v/>
      </c>
      <c r="I302" s="55" t="s">
        <v>54</v>
      </c>
      <c r="J302" s="41" t="str">
        <f>IF(F195="","",F195)</f>
        <v/>
      </c>
      <c r="K302" s="40" t="str">
        <f t="shared" si="26"/>
        <v/>
      </c>
      <c r="L302" s="43" t="str">
        <f>IF(G195="","",G195)</f>
        <v/>
      </c>
      <c r="M302" s="44" t="str">
        <f t="shared" si="10"/>
        <v/>
      </c>
      <c r="N302" s="45" t="str">
        <f t="shared" si="11"/>
        <v/>
      </c>
      <c r="O302" s="43" t="str">
        <f t="shared" si="20"/>
        <v/>
      </c>
      <c r="P302" s="46" t="str">
        <f t="shared" si="12"/>
        <v/>
      </c>
      <c r="Q302" s="47" t="str">
        <f>IF(H195="","",H195)</f>
        <v/>
      </c>
      <c r="R302" s="40" t="str">
        <f t="shared" si="13"/>
        <v/>
      </c>
      <c r="S302" s="41" t="str">
        <f>IF(I195="","",I195)</f>
        <v/>
      </c>
      <c r="T302" s="41" t="str">
        <f t="shared" si="14"/>
        <v/>
      </c>
      <c r="U302" s="41" t="str">
        <f t="shared" si="15"/>
        <v/>
      </c>
      <c r="V302" s="41" t="str">
        <f t="shared" si="16"/>
        <v/>
      </c>
      <c r="W302" s="41" t="str">
        <f t="shared" si="17"/>
        <v/>
      </c>
      <c r="X302" s="41" t="str">
        <f>IF(J195="","",J195)</f>
        <v/>
      </c>
      <c r="Y302" s="40" t="str">
        <f t="shared" si="18"/>
        <v/>
      </c>
      <c r="Z302" s="47" t="str">
        <f>IF(K195="","",K195)</f>
        <v/>
      </c>
      <c r="AA302" s="47" t="str">
        <f t="shared" si="21"/>
        <v/>
      </c>
      <c r="AB302" s="47" t="str">
        <f t="shared" si="22"/>
        <v/>
      </c>
      <c r="AC302" s="47" t="str">
        <f t="shared" si="23"/>
        <v/>
      </c>
      <c r="AD302" s="47" t="str">
        <f t="shared" si="24"/>
        <v/>
      </c>
      <c r="AE302" s="47" t="str">
        <f>IF(L195="","",L195)</f>
        <v/>
      </c>
      <c r="AF302" s="40" t="str">
        <f>IF(Z302&lt;&gt;"",IF(AG131="",""")],","), ac("),"")</f>
        <v/>
      </c>
    </row>
    <row r="303" spans="1:32" s="9" customFormat="1" ht="24.75" hidden="1" x14ac:dyDescent="0.4">
      <c r="A303" s="9" t="str">
        <f t="shared" si="27"/>
        <v>/* 32 */   [ac("", "cp0","")],</v>
      </c>
      <c r="B303" s="9">
        <f t="shared" si="25"/>
        <v>32</v>
      </c>
      <c r="C303" s="9" t="str">
        <f>IF(D303="","",IF(F303="",A303,_xlfn.CONCAT("/* ",B303,"*/      ",E303:AF303)))</f>
        <v/>
      </c>
      <c r="D303" s="39" t="str">
        <f>IF(D196="","","hay letras")</f>
        <v/>
      </c>
      <c r="E303" s="40" t="s">
        <v>52</v>
      </c>
      <c r="F303" s="48" t="str">
        <f>IF(E196="","",E196)</f>
        <v/>
      </c>
      <c r="G303" s="49" t="s">
        <v>53</v>
      </c>
      <c r="H303" s="48" t="str">
        <f t="shared" si="19"/>
        <v/>
      </c>
      <c r="I303" s="49" t="s">
        <v>54</v>
      </c>
      <c r="J303" s="48" t="str">
        <f>IF(F196="","",F196)</f>
        <v/>
      </c>
      <c r="K303" s="40" t="str">
        <f t="shared" si="26"/>
        <v/>
      </c>
      <c r="L303" s="50" t="str">
        <f>IF(G196="","",G196)</f>
        <v/>
      </c>
      <c r="M303" s="51" t="str">
        <f t="shared" si="10"/>
        <v/>
      </c>
      <c r="N303" s="52" t="str">
        <f t="shared" si="11"/>
        <v/>
      </c>
      <c r="O303" s="50" t="str">
        <f t="shared" si="20"/>
        <v/>
      </c>
      <c r="P303" s="53" t="str">
        <f t="shared" si="12"/>
        <v/>
      </c>
      <c r="Q303" s="54" t="str">
        <f>IF(H196="","",H196)</f>
        <v/>
      </c>
      <c r="R303" s="40" t="str">
        <f t="shared" si="13"/>
        <v/>
      </c>
      <c r="S303" s="48" t="str">
        <f>IF(I196="","",I196)</f>
        <v/>
      </c>
      <c r="T303" s="48" t="str">
        <f t="shared" si="14"/>
        <v/>
      </c>
      <c r="U303" s="48" t="str">
        <f t="shared" si="15"/>
        <v/>
      </c>
      <c r="V303" s="48" t="str">
        <f t="shared" si="16"/>
        <v/>
      </c>
      <c r="W303" s="48" t="str">
        <f t="shared" si="17"/>
        <v/>
      </c>
      <c r="X303" s="48" t="str">
        <f>IF(J196="","",J196)</f>
        <v/>
      </c>
      <c r="Y303" s="40" t="str">
        <f t="shared" si="18"/>
        <v/>
      </c>
      <c r="Z303" s="54" t="str">
        <f>IF(K196="","",K196)</f>
        <v/>
      </c>
      <c r="AA303" s="54" t="str">
        <f t="shared" si="21"/>
        <v/>
      </c>
      <c r="AB303" s="54" t="str">
        <f t="shared" si="22"/>
        <v/>
      </c>
      <c r="AC303" s="54" t="str">
        <f t="shared" si="23"/>
        <v/>
      </c>
      <c r="AD303" s="54" t="str">
        <f t="shared" si="24"/>
        <v/>
      </c>
      <c r="AE303" s="54" t="str">
        <f>IF(L196="","",L196)</f>
        <v/>
      </c>
      <c r="AF303" s="40" t="str">
        <f>IF(Z303&lt;&gt;"",IF(AG132="",""")],","), ac("),"")</f>
        <v/>
      </c>
    </row>
    <row r="304" spans="1:32" s="9" customFormat="1" ht="24.75" hidden="1" x14ac:dyDescent="0.4">
      <c r="A304" s="9" t="str">
        <f t="shared" si="27"/>
        <v>/* 33 */   [ac("", "cp0","")],</v>
      </c>
      <c r="B304" s="9">
        <f t="shared" si="25"/>
        <v>33</v>
      </c>
      <c r="C304" s="9" t="str">
        <f>IF(D304="","",IF(F304="",A304,_xlfn.CONCAT("/* ",B304,"*/      ",E304:AF304)))</f>
        <v/>
      </c>
      <c r="D304" s="39" t="str">
        <f>IF(D197="","","hay letras")</f>
        <v/>
      </c>
      <c r="E304" s="40" t="s">
        <v>52</v>
      </c>
      <c r="F304" s="41" t="str">
        <f>IF(E197="","",E197)</f>
        <v/>
      </c>
      <c r="G304" s="55" t="s">
        <v>53</v>
      </c>
      <c r="H304" s="41" t="str">
        <f t="shared" si="19"/>
        <v/>
      </c>
      <c r="I304" s="55" t="s">
        <v>54</v>
      </c>
      <c r="J304" s="41" t="str">
        <f>IF(F197="","",F197)</f>
        <v/>
      </c>
      <c r="K304" s="40" t="str">
        <f t="shared" si="26"/>
        <v/>
      </c>
      <c r="L304" s="43" t="str">
        <f>IF(G197="","",G197)</f>
        <v/>
      </c>
      <c r="M304" s="44" t="str">
        <f t="shared" si="10"/>
        <v/>
      </c>
      <c r="N304" s="45" t="str">
        <f t="shared" si="11"/>
        <v/>
      </c>
      <c r="O304" s="43" t="str">
        <f t="shared" si="20"/>
        <v/>
      </c>
      <c r="P304" s="46" t="str">
        <f t="shared" si="12"/>
        <v/>
      </c>
      <c r="Q304" s="47" t="str">
        <f>IF(H197="","",H197)</f>
        <v/>
      </c>
      <c r="R304" s="40" t="str">
        <f t="shared" si="13"/>
        <v/>
      </c>
      <c r="S304" s="41" t="str">
        <f>IF(I197="","",I197)</f>
        <v/>
      </c>
      <c r="T304" s="41" t="str">
        <f t="shared" si="14"/>
        <v/>
      </c>
      <c r="U304" s="41" t="str">
        <f t="shared" si="15"/>
        <v/>
      </c>
      <c r="V304" s="41" t="str">
        <f t="shared" si="16"/>
        <v/>
      </c>
      <c r="W304" s="41" t="str">
        <f t="shared" si="17"/>
        <v/>
      </c>
      <c r="X304" s="41" t="str">
        <f>IF(J197="","",J197)</f>
        <v/>
      </c>
      <c r="Y304" s="40" t="str">
        <f t="shared" si="18"/>
        <v/>
      </c>
      <c r="Z304" s="47" t="str">
        <f>IF(K197="","",K197)</f>
        <v/>
      </c>
      <c r="AA304" s="47" t="str">
        <f t="shared" si="21"/>
        <v/>
      </c>
      <c r="AB304" s="47" t="str">
        <f t="shared" si="22"/>
        <v/>
      </c>
      <c r="AC304" s="47" t="str">
        <f t="shared" si="23"/>
        <v/>
      </c>
      <c r="AD304" s="47" t="str">
        <f t="shared" si="24"/>
        <v/>
      </c>
      <c r="AE304" s="47" t="str">
        <f>IF(L197="","",L197)</f>
        <v/>
      </c>
      <c r="AF304" s="40" t="str">
        <f>IF(Z304&lt;&gt;"",IF(AG133="",""")],","), ac("),"")</f>
        <v/>
      </c>
    </row>
    <row r="305" spans="1:32" s="9" customFormat="1" ht="24.75" hidden="1" x14ac:dyDescent="0.4">
      <c r="A305" s="9" t="str">
        <f t="shared" si="27"/>
        <v>/* 34 */   [ac("", "cp0","")],</v>
      </c>
      <c r="B305" s="9">
        <f t="shared" si="25"/>
        <v>34</v>
      </c>
      <c r="C305" s="9" t="str">
        <f>IF(D305="","",IF(F305="",A305,_xlfn.CONCAT("/* ",B305,"*/      ",E305:AF305)))</f>
        <v/>
      </c>
      <c r="D305" s="39" t="str">
        <f>IF(D198="","","hay letras")</f>
        <v/>
      </c>
      <c r="E305" s="40" t="s">
        <v>52</v>
      </c>
      <c r="F305" s="48" t="str">
        <f>IF(E198="","",E198)</f>
        <v/>
      </c>
      <c r="G305" s="49" t="s">
        <v>53</v>
      </c>
      <c r="H305" s="48" t="str">
        <f t="shared" si="19"/>
        <v/>
      </c>
      <c r="I305" s="49" t="s">
        <v>54</v>
      </c>
      <c r="J305" s="48" t="str">
        <f>IF(F198="","",F198)</f>
        <v/>
      </c>
      <c r="K305" s="40" t="str">
        <f t="shared" si="26"/>
        <v/>
      </c>
      <c r="L305" s="50" t="str">
        <f>IF(G198="","",G198)</f>
        <v/>
      </c>
      <c r="M305" s="51" t="str">
        <f t="shared" si="10"/>
        <v/>
      </c>
      <c r="N305" s="52" t="str">
        <f t="shared" si="11"/>
        <v/>
      </c>
      <c r="O305" s="50" t="str">
        <f t="shared" si="20"/>
        <v/>
      </c>
      <c r="P305" s="53" t="str">
        <f t="shared" si="12"/>
        <v/>
      </c>
      <c r="Q305" s="54" t="str">
        <f>IF(H198="","",H198)</f>
        <v/>
      </c>
      <c r="R305" s="40" t="str">
        <f t="shared" si="13"/>
        <v/>
      </c>
      <c r="S305" s="48" t="str">
        <f>IF(I198="","",I198)</f>
        <v/>
      </c>
      <c r="T305" s="48" t="str">
        <f t="shared" si="14"/>
        <v/>
      </c>
      <c r="U305" s="48" t="str">
        <f t="shared" si="15"/>
        <v/>
      </c>
      <c r="V305" s="48" t="str">
        <f t="shared" si="16"/>
        <v/>
      </c>
      <c r="W305" s="48" t="str">
        <f t="shared" si="17"/>
        <v/>
      </c>
      <c r="X305" s="48" t="str">
        <f>IF(J198="","",J198)</f>
        <v/>
      </c>
      <c r="Y305" s="40" t="str">
        <f t="shared" si="18"/>
        <v/>
      </c>
      <c r="Z305" s="54" t="str">
        <f>IF(K198="","",K198)</f>
        <v/>
      </c>
      <c r="AA305" s="54" t="str">
        <f t="shared" si="21"/>
        <v/>
      </c>
      <c r="AB305" s="54" t="str">
        <f t="shared" si="22"/>
        <v/>
      </c>
      <c r="AC305" s="54" t="str">
        <f t="shared" si="23"/>
        <v/>
      </c>
      <c r="AD305" s="54" t="str">
        <f t="shared" si="24"/>
        <v/>
      </c>
      <c r="AE305" s="54" t="str">
        <f>IF(L198="","",L198)</f>
        <v/>
      </c>
      <c r="AF305" s="40" t="str">
        <f>IF(Z305&lt;&gt;"",IF(AG134="",""")],","), ac("),"")</f>
        <v/>
      </c>
    </row>
    <row r="306" spans="1:32" s="9" customFormat="1" ht="24.75" hidden="1" x14ac:dyDescent="0.4">
      <c r="A306" s="9" t="str">
        <f t="shared" si="27"/>
        <v>/* 35 */   [ac("", "cp0","")],</v>
      </c>
      <c r="B306" s="9">
        <f t="shared" si="25"/>
        <v>35</v>
      </c>
      <c r="C306" s="9" t="str">
        <f>IF(D306="","",IF(F306="",A306,_xlfn.CONCAT("/* ",B306,"*/      ",E306:AF306)))</f>
        <v/>
      </c>
      <c r="D306" s="39" t="str">
        <f>IF(D199="","","hay letras")</f>
        <v/>
      </c>
      <c r="E306" s="40" t="s">
        <v>52</v>
      </c>
      <c r="F306" s="41" t="str">
        <f>IF(E199="","",E199)</f>
        <v/>
      </c>
      <c r="G306" s="55" t="s">
        <v>53</v>
      </c>
      <c r="H306" s="41" t="str">
        <f t="shared" si="19"/>
        <v/>
      </c>
      <c r="I306" s="55" t="s">
        <v>54</v>
      </c>
      <c r="J306" s="41" t="str">
        <f>IF(F199="","",F199)</f>
        <v/>
      </c>
      <c r="K306" s="40" t="str">
        <f t="shared" si="26"/>
        <v/>
      </c>
      <c r="L306" s="43" t="str">
        <f>IF(G199="","",G199)</f>
        <v/>
      </c>
      <c r="M306" s="44" t="str">
        <f t="shared" si="10"/>
        <v/>
      </c>
      <c r="N306" s="45" t="str">
        <f t="shared" si="11"/>
        <v/>
      </c>
      <c r="O306" s="43" t="str">
        <f t="shared" si="20"/>
        <v/>
      </c>
      <c r="P306" s="46" t="str">
        <f t="shared" si="12"/>
        <v/>
      </c>
      <c r="Q306" s="47" t="str">
        <f>IF(H199="","",H199)</f>
        <v/>
      </c>
      <c r="R306" s="40" t="str">
        <f t="shared" si="13"/>
        <v/>
      </c>
      <c r="S306" s="41" t="str">
        <f>IF(I199="","",I199)</f>
        <v/>
      </c>
      <c r="T306" s="41" t="str">
        <f t="shared" si="14"/>
        <v/>
      </c>
      <c r="U306" s="41" t="str">
        <f t="shared" si="15"/>
        <v/>
      </c>
      <c r="V306" s="41" t="str">
        <f t="shared" si="16"/>
        <v/>
      </c>
      <c r="W306" s="41" t="str">
        <f t="shared" si="17"/>
        <v/>
      </c>
      <c r="X306" s="41" t="str">
        <f>IF(J199="","",J199)</f>
        <v/>
      </c>
      <c r="Y306" s="40" t="str">
        <f t="shared" si="18"/>
        <v/>
      </c>
      <c r="Z306" s="47" t="str">
        <f>IF(K199="","",K199)</f>
        <v/>
      </c>
      <c r="AA306" s="47" t="str">
        <f t="shared" si="21"/>
        <v/>
      </c>
      <c r="AB306" s="47" t="str">
        <f t="shared" si="22"/>
        <v/>
      </c>
      <c r="AC306" s="47" t="str">
        <f t="shared" si="23"/>
        <v/>
      </c>
      <c r="AD306" s="47" t="str">
        <f t="shared" si="24"/>
        <v/>
      </c>
      <c r="AE306" s="47" t="str">
        <f>IF(L199="","",L199)</f>
        <v/>
      </c>
      <c r="AF306" s="40" t="str">
        <f>IF(Z306&lt;&gt;"",IF(AG135="",""")],","), ac("),"")</f>
        <v/>
      </c>
    </row>
    <row r="307" spans="1:32" s="9" customFormat="1" ht="24.75" hidden="1" x14ac:dyDescent="0.4">
      <c r="A307" s="9" t="str">
        <f t="shared" si="27"/>
        <v>/* 36 */   [ac("", "cp0","")],</v>
      </c>
      <c r="B307" s="9">
        <f t="shared" si="25"/>
        <v>36</v>
      </c>
      <c r="C307" s="9" t="str">
        <f>IF(D307="","",IF(F307="",A307,_xlfn.CONCAT("/* ",B307,"*/      ",E307:AF307)))</f>
        <v/>
      </c>
      <c r="D307" s="39" t="str">
        <f>IF(D200="","","hay letras")</f>
        <v/>
      </c>
      <c r="E307" s="40" t="s">
        <v>52</v>
      </c>
      <c r="F307" s="48" t="str">
        <f>IF(E200="","",E200)</f>
        <v/>
      </c>
      <c r="G307" s="49" t="s">
        <v>53</v>
      </c>
      <c r="H307" s="48" t="str">
        <f t="shared" si="19"/>
        <v/>
      </c>
      <c r="I307" s="49" t="s">
        <v>54</v>
      </c>
      <c r="J307" s="48" t="str">
        <f>IF(F200="","",F200)</f>
        <v/>
      </c>
      <c r="K307" s="40" t="str">
        <f t="shared" si="26"/>
        <v/>
      </c>
      <c r="L307" s="50" t="str">
        <f>IF(G200="","",G200)</f>
        <v/>
      </c>
      <c r="M307" s="51" t="str">
        <f t="shared" si="10"/>
        <v/>
      </c>
      <c r="N307" s="52" t="str">
        <f t="shared" si="11"/>
        <v/>
      </c>
      <c r="O307" s="50" t="str">
        <f t="shared" si="20"/>
        <v/>
      </c>
      <c r="P307" s="53" t="str">
        <f t="shared" si="12"/>
        <v/>
      </c>
      <c r="Q307" s="54" t="str">
        <f>IF(H200="","",H200)</f>
        <v/>
      </c>
      <c r="R307" s="40" t="str">
        <f t="shared" si="13"/>
        <v/>
      </c>
      <c r="S307" s="48" t="str">
        <f>IF(I200="","",I200)</f>
        <v/>
      </c>
      <c r="T307" s="48" t="str">
        <f t="shared" si="14"/>
        <v/>
      </c>
      <c r="U307" s="48" t="str">
        <f t="shared" si="15"/>
        <v/>
      </c>
      <c r="V307" s="48" t="str">
        <f t="shared" si="16"/>
        <v/>
      </c>
      <c r="W307" s="48" t="str">
        <f t="shared" si="17"/>
        <v/>
      </c>
      <c r="X307" s="48" t="str">
        <f>IF(J200="","",J200)</f>
        <v/>
      </c>
      <c r="Y307" s="40" t="str">
        <f t="shared" si="18"/>
        <v/>
      </c>
      <c r="Z307" s="54" t="str">
        <f>IF(K200="","",K200)</f>
        <v/>
      </c>
      <c r="AA307" s="54" t="str">
        <f t="shared" si="21"/>
        <v/>
      </c>
      <c r="AB307" s="54" t="str">
        <f t="shared" si="22"/>
        <v/>
      </c>
      <c r="AC307" s="54" t="str">
        <f t="shared" si="23"/>
        <v/>
      </c>
      <c r="AD307" s="54" t="str">
        <f t="shared" si="24"/>
        <v/>
      </c>
      <c r="AE307" s="54" t="str">
        <f>IF(L200="","",L200)</f>
        <v/>
      </c>
      <c r="AF307" s="40" t="str">
        <f>IF(Z307&lt;&gt;"",IF(AG136="",""")],","), ac("),"")</f>
        <v/>
      </c>
    </row>
    <row r="308" spans="1:32" s="9" customFormat="1" ht="24.75" hidden="1" x14ac:dyDescent="0.4">
      <c r="A308" s="9" t="str">
        <f t="shared" si="27"/>
        <v>/* 37 */   [ac("", "cp0","")],</v>
      </c>
      <c r="B308" s="9">
        <f t="shared" si="25"/>
        <v>37</v>
      </c>
      <c r="C308" s="9" t="str">
        <f>IF(D308="","",IF(F308="",A308,_xlfn.CONCAT("/* ",B308,"*/      ",E308:AF308)))</f>
        <v/>
      </c>
      <c r="D308" s="39" t="str">
        <f>IF(D201="","","hay letras")</f>
        <v/>
      </c>
      <c r="E308" s="40" t="s">
        <v>52</v>
      </c>
      <c r="F308" s="41" t="str">
        <f>IF(E201="","",E201)</f>
        <v/>
      </c>
      <c r="G308" s="55" t="s">
        <v>53</v>
      </c>
      <c r="H308" s="41" t="str">
        <f t="shared" si="19"/>
        <v/>
      </c>
      <c r="I308" s="55" t="s">
        <v>54</v>
      </c>
      <c r="J308" s="41" t="str">
        <f>IF(F201="","",F201)</f>
        <v/>
      </c>
      <c r="K308" s="40" t="str">
        <f t="shared" si="26"/>
        <v/>
      </c>
      <c r="L308" s="43" t="str">
        <f>IF(G201="","",G201)</f>
        <v/>
      </c>
      <c r="M308" s="44" t="str">
        <f t="shared" si="10"/>
        <v/>
      </c>
      <c r="N308" s="45" t="str">
        <f t="shared" si="11"/>
        <v/>
      </c>
      <c r="O308" s="43" t="str">
        <f t="shared" si="20"/>
        <v/>
      </c>
      <c r="P308" s="46" t="str">
        <f t="shared" si="12"/>
        <v/>
      </c>
      <c r="Q308" s="47" t="str">
        <f>IF(H201="","",H201)</f>
        <v/>
      </c>
      <c r="R308" s="40" t="str">
        <f t="shared" si="13"/>
        <v/>
      </c>
      <c r="S308" s="41" t="str">
        <f>IF(I201="","",I201)</f>
        <v/>
      </c>
      <c r="T308" s="41" t="str">
        <f t="shared" si="14"/>
        <v/>
      </c>
      <c r="U308" s="41" t="str">
        <f t="shared" si="15"/>
        <v/>
      </c>
      <c r="V308" s="41" t="str">
        <f t="shared" si="16"/>
        <v/>
      </c>
      <c r="W308" s="41" t="str">
        <f t="shared" si="17"/>
        <v/>
      </c>
      <c r="X308" s="41" t="str">
        <f>IF(J201="","",J201)</f>
        <v/>
      </c>
      <c r="Y308" s="40" t="str">
        <f t="shared" si="18"/>
        <v/>
      </c>
      <c r="Z308" s="47" t="str">
        <f>IF(K201="","",K201)</f>
        <v/>
      </c>
      <c r="AA308" s="47" t="str">
        <f t="shared" si="21"/>
        <v/>
      </c>
      <c r="AB308" s="47" t="str">
        <f t="shared" si="22"/>
        <v/>
      </c>
      <c r="AC308" s="47" t="str">
        <f t="shared" si="23"/>
        <v/>
      </c>
      <c r="AD308" s="47" t="str">
        <f t="shared" si="24"/>
        <v/>
      </c>
      <c r="AE308" s="47" t="str">
        <f>IF(L201="","",L201)</f>
        <v/>
      </c>
      <c r="AF308" s="40" t="str">
        <f>IF(Z308&lt;&gt;"",IF(AG137="",""")],","), ac("),"")</f>
        <v/>
      </c>
    </row>
    <row r="309" spans="1:32" s="9" customFormat="1" ht="24.75" hidden="1" x14ac:dyDescent="0.4">
      <c r="A309" s="9" t="str">
        <f t="shared" si="27"/>
        <v>/* 38 */   [ac("", "cp0","")],</v>
      </c>
      <c r="B309" s="9">
        <f t="shared" si="25"/>
        <v>38</v>
      </c>
      <c r="C309" s="9" t="str">
        <f>IF(D309="","",IF(F309="",A309,_xlfn.CONCAT("/* ",B309,"*/      ",E309:AF309)))</f>
        <v/>
      </c>
      <c r="D309" s="39" t="str">
        <f>IF(D202="","","hay letras")</f>
        <v/>
      </c>
      <c r="E309" s="40" t="s">
        <v>52</v>
      </c>
      <c r="F309" s="48" t="str">
        <f>IF(E202="","",E202)</f>
        <v/>
      </c>
      <c r="G309" s="49" t="s">
        <v>53</v>
      </c>
      <c r="H309" s="48" t="str">
        <f t="shared" si="19"/>
        <v/>
      </c>
      <c r="I309" s="49" t="s">
        <v>54</v>
      </c>
      <c r="J309" s="48" t="str">
        <f>IF(F202="","",F202)</f>
        <v/>
      </c>
      <c r="K309" s="40" t="str">
        <f t="shared" si="26"/>
        <v/>
      </c>
      <c r="L309" s="50" t="str">
        <f>IF(G202="","",G202)</f>
        <v/>
      </c>
      <c r="M309" s="51" t="str">
        <f t="shared" si="10"/>
        <v/>
      </c>
      <c r="N309" s="52" t="str">
        <f t="shared" si="11"/>
        <v/>
      </c>
      <c r="O309" s="50" t="str">
        <f t="shared" si="20"/>
        <v/>
      </c>
      <c r="P309" s="53" t="str">
        <f t="shared" si="12"/>
        <v/>
      </c>
      <c r="Q309" s="54" t="str">
        <f>IF(H202="","",H202)</f>
        <v/>
      </c>
      <c r="R309" s="40" t="str">
        <f t="shared" si="13"/>
        <v/>
      </c>
      <c r="S309" s="48" t="str">
        <f>IF(I202="","",I202)</f>
        <v/>
      </c>
      <c r="T309" s="48" t="str">
        <f t="shared" si="14"/>
        <v/>
      </c>
      <c r="U309" s="48" t="str">
        <f t="shared" si="15"/>
        <v/>
      </c>
      <c r="V309" s="48" t="str">
        <f t="shared" si="16"/>
        <v/>
      </c>
      <c r="W309" s="48" t="str">
        <f t="shared" si="17"/>
        <v/>
      </c>
      <c r="X309" s="48" t="str">
        <f>IF(J202="","",J202)</f>
        <v/>
      </c>
      <c r="Y309" s="40" t="str">
        <f t="shared" si="18"/>
        <v/>
      </c>
      <c r="Z309" s="54" t="str">
        <f>IF(K202="","",K202)</f>
        <v/>
      </c>
      <c r="AA309" s="54" t="str">
        <f t="shared" si="21"/>
        <v/>
      </c>
      <c r="AB309" s="54" t="str">
        <f t="shared" si="22"/>
        <v/>
      </c>
      <c r="AC309" s="54" t="str">
        <f t="shared" si="23"/>
        <v/>
      </c>
      <c r="AD309" s="54" t="str">
        <f t="shared" si="24"/>
        <v/>
      </c>
      <c r="AE309" s="54" t="str">
        <f>IF(L202="","",L202)</f>
        <v/>
      </c>
      <c r="AF309" s="40" t="str">
        <f>IF(Z309&lt;&gt;"",IF(AG138="",""")],","), ac("),"")</f>
        <v/>
      </c>
    </row>
    <row r="310" spans="1:32" s="9" customFormat="1" ht="24.75" hidden="1" x14ac:dyDescent="0.4">
      <c r="A310" s="9" t="str">
        <f t="shared" si="27"/>
        <v>/* 39 */   [ac("", "cp0","")],</v>
      </c>
      <c r="B310" s="9">
        <f t="shared" si="25"/>
        <v>39</v>
      </c>
      <c r="C310" s="9" t="str">
        <f>IF(D310="","",IF(F310="",A310,_xlfn.CONCAT("/* ",B310,"*/      ",E310:AF310)))</f>
        <v/>
      </c>
      <c r="D310" s="39" t="str">
        <f>IF(D203="","","hay letras")</f>
        <v/>
      </c>
      <c r="E310" s="40" t="s">
        <v>52</v>
      </c>
      <c r="F310" s="41" t="str">
        <f>IF(E203="","",E203)</f>
        <v/>
      </c>
      <c r="G310" s="55" t="s">
        <v>53</v>
      </c>
      <c r="H310" s="41" t="str">
        <f t="shared" si="19"/>
        <v/>
      </c>
      <c r="I310" s="55" t="s">
        <v>54</v>
      </c>
      <c r="J310" s="41" t="str">
        <f>IF(F203="","",F203)</f>
        <v/>
      </c>
      <c r="K310" s="40" t="str">
        <f t="shared" si="26"/>
        <v/>
      </c>
      <c r="L310" s="43" t="str">
        <f>IF(G203="","",G203)</f>
        <v/>
      </c>
      <c r="M310" s="44" t="str">
        <f t="shared" si="10"/>
        <v/>
      </c>
      <c r="N310" s="45" t="str">
        <f t="shared" si="11"/>
        <v/>
      </c>
      <c r="O310" s="43" t="str">
        <f t="shared" si="20"/>
        <v/>
      </c>
      <c r="P310" s="46" t="str">
        <f t="shared" si="12"/>
        <v/>
      </c>
      <c r="Q310" s="47" t="str">
        <f>IF(H203="","",H203)</f>
        <v/>
      </c>
      <c r="R310" s="40" t="str">
        <f t="shared" si="13"/>
        <v/>
      </c>
      <c r="S310" s="41" t="str">
        <f>IF(I203="","",I203)</f>
        <v/>
      </c>
      <c r="T310" s="41" t="str">
        <f t="shared" si="14"/>
        <v/>
      </c>
      <c r="U310" s="41" t="str">
        <f t="shared" si="15"/>
        <v/>
      </c>
      <c r="V310" s="41" t="str">
        <f t="shared" si="16"/>
        <v/>
      </c>
      <c r="W310" s="41" t="str">
        <f t="shared" si="17"/>
        <v/>
      </c>
      <c r="X310" s="41" t="str">
        <f>IF(J203="","",J203)</f>
        <v/>
      </c>
      <c r="Y310" s="40" t="str">
        <f t="shared" si="18"/>
        <v/>
      </c>
      <c r="Z310" s="47" t="str">
        <f>IF(K203="","",K203)</f>
        <v/>
      </c>
      <c r="AA310" s="47" t="str">
        <f t="shared" si="21"/>
        <v/>
      </c>
      <c r="AB310" s="47" t="str">
        <f t="shared" si="22"/>
        <v/>
      </c>
      <c r="AC310" s="47" t="str">
        <f t="shared" si="23"/>
        <v/>
      </c>
      <c r="AD310" s="47" t="str">
        <f t="shared" si="24"/>
        <v/>
      </c>
      <c r="AE310" s="47" t="str">
        <f>IF(L203="","",L203)</f>
        <v/>
      </c>
      <c r="AF310" s="40" t="str">
        <f>IF(Z310&lt;&gt;"",IF(AG139="",""")],","), ac("),"")</f>
        <v/>
      </c>
    </row>
    <row r="311" spans="1:32" s="9" customFormat="1" ht="24.75" hidden="1" x14ac:dyDescent="0.4">
      <c r="A311" s="9" t="str">
        <f t="shared" si="27"/>
        <v>/* 40 */   [ac("", "cp0","")],</v>
      </c>
      <c r="B311" s="9">
        <f t="shared" si="25"/>
        <v>40</v>
      </c>
      <c r="C311" s="9" t="str">
        <f>IF(D311="","",IF(F311="",A311,_xlfn.CONCAT("/* ",B311,"*/      ",E311:AF311)))</f>
        <v/>
      </c>
      <c r="D311" s="39" t="str">
        <f>IF(D204="","","hay letras")</f>
        <v/>
      </c>
      <c r="E311" s="40" t="s">
        <v>52</v>
      </c>
      <c r="F311" s="48" t="str">
        <f>IF(E204="","",E204)</f>
        <v/>
      </c>
      <c r="G311" s="49" t="s">
        <v>53</v>
      </c>
      <c r="H311" s="48" t="str">
        <f t="shared" si="19"/>
        <v/>
      </c>
      <c r="I311" s="49" t="s">
        <v>54</v>
      </c>
      <c r="J311" s="48" t="str">
        <f>IF(F204="","",F204)</f>
        <v/>
      </c>
      <c r="K311" s="40" t="str">
        <f t="shared" si="26"/>
        <v/>
      </c>
      <c r="L311" s="50" t="str">
        <f>IF(G204="","",G204)</f>
        <v/>
      </c>
      <c r="M311" s="51" t="str">
        <f t="shared" si="10"/>
        <v/>
      </c>
      <c r="N311" s="52" t="str">
        <f t="shared" si="11"/>
        <v/>
      </c>
      <c r="O311" s="50" t="str">
        <f t="shared" si="20"/>
        <v/>
      </c>
      <c r="P311" s="53" t="str">
        <f t="shared" si="12"/>
        <v/>
      </c>
      <c r="Q311" s="54" t="str">
        <f>IF(H204="","",H204)</f>
        <v/>
      </c>
      <c r="R311" s="40" t="str">
        <f t="shared" si="13"/>
        <v/>
      </c>
      <c r="S311" s="48" t="str">
        <f>IF(I204="","",I204)</f>
        <v/>
      </c>
      <c r="T311" s="48" t="str">
        <f t="shared" si="14"/>
        <v/>
      </c>
      <c r="U311" s="48" t="str">
        <f t="shared" si="15"/>
        <v/>
      </c>
      <c r="V311" s="48" t="str">
        <f t="shared" si="16"/>
        <v/>
      </c>
      <c r="W311" s="48" t="str">
        <f t="shared" si="17"/>
        <v/>
      </c>
      <c r="X311" s="48" t="str">
        <f>IF(J204="","",J204)</f>
        <v/>
      </c>
      <c r="Y311" s="40" t="str">
        <f t="shared" si="18"/>
        <v/>
      </c>
      <c r="Z311" s="54" t="str">
        <f>IF(K204="","",K204)</f>
        <v/>
      </c>
      <c r="AA311" s="54" t="str">
        <f t="shared" si="21"/>
        <v/>
      </c>
      <c r="AB311" s="54" t="str">
        <f t="shared" si="22"/>
        <v/>
      </c>
      <c r="AC311" s="54" t="str">
        <f t="shared" si="23"/>
        <v/>
      </c>
      <c r="AD311" s="54" t="str">
        <f t="shared" si="24"/>
        <v/>
      </c>
      <c r="AE311" s="54" t="str">
        <f>IF(L204="","",L204)</f>
        <v/>
      </c>
      <c r="AF311" s="40" t="str">
        <f>IF(Z311&lt;&gt;"",IF(AG140="",""")],","), ac("),"")</f>
        <v/>
      </c>
    </row>
    <row r="312" spans="1:32" s="9" customFormat="1" ht="24.75" hidden="1" x14ac:dyDescent="0.4">
      <c r="A312" s="9" t="str">
        <f t="shared" si="27"/>
        <v>/* 41 */   [ac("", "cp0","")],</v>
      </c>
      <c r="B312" s="9">
        <f t="shared" si="25"/>
        <v>41</v>
      </c>
      <c r="D312" s="39" t="str">
        <f>IF(D205="","","hay letras")</f>
        <v/>
      </c>
      <c r="E312" s="40" t="s">
        <v>52</v>
      </c>
      <c r="F312" s="41" t="str">
        <f>IF(E205="","",E205)</f>
        <v/>
      </c>
      <c r="G312" s="55" t="s">
        <v>53</v>
      </c>
      <c r="H312" s="41" t="str">
        <f t="shared" ref="H312:H371" si="28">IF(F312="","","14")</f>
        <v/>
      </c>
      <c r="I312" s="55" t="s">
        <v>54</v>
      </c>
      <c r="J312" s="41" t="str">
        <f>IF(F205="","",F205)</f>
        <v/>
      </c>
      <c r="K312" s="40" t="str">
        <f t="shared" ref="K312:K371" si="29">IF(F312&lt;&gt;"",IF(L312="",""")],","""), ac("""),"")</f>
        <v/>
      </c>
      <c r="L312" s="43" t="str">
        <f>IF(G205="","",G205)</f>
        <v/>
      </c>
      <c r="M312" s="44" t="str">
        <f t="shared" ref="M312:M371" si="30">IF(L312="","",""",""")</f>
        <v/>
      </c>
      <c r="N312" s="45" t="str">
        <f t="shared" ref="N312:N371" si="31">IF(L312="","","cp")</f>
        <v/>
      </c>
      <c r="O312" s="43" t="str">
        <f t="shared" ref="O312:O371" si="32">IF(L312="","","90")</f>
        <v/>
      </c>
      <c r="P312" s="46" t="str">
        <f t="shared" ref="P312:P371" si="33">IF(L312="","",""",""")</f>
        <v/>
      </c>
      <c r="Q312" s="47" t="str">
        <f>IF(H205="","",H205)</f>
        <v/>
      </c>
      <c r="R312" s="40" t="str">
        <f t="shared" ref="R312:R371" si="34">IF(L312&lt;&gt;"",IF(S312="",""")],","""), ac("""),"")</f>
        <v/>
      </c>
      <c r="S312" s="41" t="str">
        <f>IF(I205="","",I205)</f>
        <v/>
      </c>
      <c r="T312" s="41" t="str">
        <f t="shared" ref="T312:T371" si="35">IF(S312="","",""",""")</f>
        <v/>
      </c>
      <c r="U312" s="41" t="str">
        <f t="shared" ref="U312:U371" si="36">IF(S312="","","cp")</f>
        <v/>
      </c>
      <c r="V312" s="41" t="str">
        <f t="shared" ref="V312:V371" si="37">IF(S312="","","150")</f>
        <v/>
      </c>
      <c r="W312" s="41" t="str">
        <f t="shared" ref="W312:W371" si="38">IF(S312="","",""",""")</f>
        <v/>
      </c>
      <c r="X312" s="41" t="str">
        <f>IF(J205="","",J205)</f>
        <v/>
      </c>
      <c r="Y312" s="40" t="str">
        <f t="shared" ref="Y312:Y371" si="39">IF(S312&lt;&gt;"",IF(Z312="",""")],","""), ac("""),"")</f>
        <v/>
      </c>
      <c r="Z312" s="47" t="str">
        <f>IF(K205="","",K205)</f>
        <v/>
      </c>
      <c r="AA312" s="47" t="str">
        <f t="shared" ref="AA312:AA371" si="40">IF(Z312="","",""",""")</f>
        <v/>
      </c>
      <c r="AB312" s="47" t="str">
        <f t="shared" ref="AB312:AB371" si="41">IF(Z312="","","cp")</f>
        <v/>
      </c>
      <c r="AC312" s="47" t="str">
        <f t="shared" ref="AC312:AC371" si="42">IF(Z312="","","250")</f>
        <v/>
      </c>
      <c r="AD312" s="47" t="str">
        <f t="shared" ref="AD312:AD371" si="43">IF(Z312="","",""",""")</f>
        <v/>
      </c>
      <c r="AE312" s="47" t="str">
        <f>IF(L205="","",L205)</f>
        <v/>
      </c>
      <c r="AF312" s="40" t="str">
        <f>IF(Z312&lt;&gt;"",IF(AG141="",""")],","), ac("),"")</f>
        <v/>
      </c>
    </row>
    <row r="313" spans="1:32" s="9" customFormat="1" ht="24.75" hidden="1" x14ac:dyDescent="0.4">
      <c r="A313" s="9" t="str">
        <f t="shared" si="27"/>
        <v>/* 42 */   [ac("", "cp0","")],</v>
      </c>
      <c r="B313" s="9">
        <f t="shared" si="25"/>
        <v>42</v>
      </c>
      <c r="D313" s="39" t="str">
        <f t="shared" ref="D313:D372" si="44">IF(D206="","","hay letras")</f>
        <v/>
      </c>
      <c r="E313" s="40" t="s">
        <v>52</v>
      </c>
      <c r="F313" s="48" t="str">
        <f>IF(E206="","",E206)</f>
        <v/>
      </c>
      <c r="G313" s="49" t="s">
        <v>53</v>
      </c>
      <c r="H313" s="48" t="str">
        <f t="shared" si="28"/>
        <v/>
      </c>
      <c r="I313" s="49" t="s">
        <v>54</v>
      </c>
      <c r="J313" s="48" t="str">
        <f>IF(F206="","",F206)</f>
        <v/>
      </c>
      <c r="K313" s="40" t="str">
        <f t="shared" si="29"/>
        <v/>
      </c>
      <c r="L313" s="50" t="str">
        <f>IF(G206="","",G206)</f>
        <v/>
      </c>
      <c r="M313" s="51" t="str">
        <f t="shared" si="30"/>
        <v/>
      </c>
      <c r="N313" s="52" t="str">
        <f t="shared" si="31"/>
        <v/>
      </c>
      <c r="O313" s="50" t="str">
        <f t="shared" si="32"/>
        <v/>
      </c>
      <c r="P313" s="53" t="str">
        <f t="shared" si="33"/>
        <v/>
      </c>
      <c r="Q313" s="54" t="str">
        <f>IF(H206="","",H206)</f>
        <v/>
      </c>
      <c r="R313" s="40" t="str">
        <f t="shared" si="34"/>
        <v/>
      </c>
      <c r="S313" s="48" t="str">
        <f>IF(I206="","",I206)</f>
        <v/>
      </c>
      <c r="T313" s="48" t="str">
        <f t="shared" si="35"/>
        <v/>
      </c>
      <c r="U313" s="48" t="str">
        <f t="shared" si="36"/>
        <v/>
      </c>
      <c r="V313" s="48" t="str">
        <f t="shared" si="37"/>
        <v/>
      </c>
      <c r="W313" s="48" t="str">
        <f t="shared" si="38"/>
        <v/>
      </c>
      <c r="X313" s="48" t="str">
        <f>IF(J206="","",J206)</f>
        <v/>
      </c>
      <c r="Y313" s="40" t="str">
        <f t="shared" si="39"/>
        <v/>
      </c>
      <c r="Z313" s="54" t="str">
        <f>IF(K206="","",K206)</f>
        <v/>
      </c>
      <c r="AA313" s="54" t="str">
        <f t="shared" si="40"/>
        <v/>
      </c>
      <c r="AB313" s="54" t="str">
        <f t="shared" si="41"/>
        <v/>
      </c>
      <c r="AC313" s="54" t="str">
        <f t="shared" si="42"/>
        <v/>
      </c>
      <c r="AD313" s="54" t="str">
        <f t="shared" si="43"/>
        <v/>
      </c>
      <c r="AE313" s="54" t="str">
        <f>IF(L206="","",L206)</f>
        <v/>
      </c>
      <c r="AF313" s="40" t="str">
        <f>IF(Z313&lt;&gt;"",IF(AG142="",""")],","), ac("),"")</f>
        <v/>
      </c>
    </row>
    <row r="314" spans="1:32" s="9" customFormat="1" ht="24.75" hidden="1" x14ac:dyDescent="0.4">
      <c r="A314" s="9" t="str">
        <f t="shared" si="27"/>
        <v>/* 43 */   [ac("", "cp0","")],</v>
      </c>
      <c r="B314" s="9">
        <f t="shared" si="25"/>
        <v>43</v>
      </c>
      <c r="D314" s="39" t="str">
        <f t="shared" si="44"/>
        <v/>
      </c>
      <c r="E314" s="40" t="s">
        <v>52</v>
      </c>
      <c r="F314" s="41" t="str">
        <f>IF(E207="","",E207)</f>
        <v/>
      </c>
      <c r="G314" s="55" t="s">
        <v>53</v>
      </c>
      <c r="H314" s="41" t="str">
        <f t="shared" si="28"/>
        <v/>
      </c>
      <c r="I314" s="55" t="s">
        <v>54</v>
      </c>
      <c r="J314" s="41" t="str">
        <f>IF(F207="","",F207)</f>
        <v/>
      </c>
      <c r="K314" s="40" t="str">
        <f t="shared" si="29"/>
        <v/>
      </c>
      <c r="L314" s="43" t="str">
        <f>IF(G207="","",G207)</f>
        <v/>
      </c>
      <c r="M314" s="44" t="str">
        <f t="shared" si="30"/>
        <v/>
      </c>
      <c r="N314" s="45" t="str">
        <f t="shared" si="31"/>
        <v/>
      </c>
      <c r="O314" s="43" t="str">
        <f t="shared" si="32"/>
        <v/>
      </c>
      <c r="P314" s="46" t="str">
        <f t="shared" si="33"/>
        <v/>
      </c>
      <c r="Q314" s="47" t="str">
        <f>IF(H207="","",H207)</f>
        <v/>
      </c>
      <c r="R314" s="40" t="str">
        <f t="shared" si="34"/>
        <v/>
      </c>
      <c r="S314" s="41" t="str">
        <f>IF(I207="","",I207)</f>
        <v/>
      </c>
      <c r="T314" s="41" t="str">
        <f t="shared" si="35"/>
        <v/>
      </c>
      <c r="U314" s="41" t="str">
        <f t="shared" si="36"/>
        <v/>
      </c>
      <c r="V314" s="41" t="str">
        <f t="shared" si="37"/>
        <v/>
      </c>
      <c r="W314" s="41" t="str">
        <f t="shared" si="38"/>
        <v/>
      </c>
      <c r="X314" s="41" t="str">
        <f>IF(J207="","",J207)</f>
        <v/>
      </c>
      <c r="Y314" s="40" t="str">
        <f t="shared" si="39"/>
        <v/>
      </c>
      <c r="Z314" s="47" t="str">
        <f>IF(K207="","",K207)</f>
        <v/>
      </c>
      <c r="AA314" s="47" t="str">
        <f t="shared" si="40"/>
        <v/>
      </c>
      <c r="AB314" s="47" t="str">
        <f t="shared" si="41"/>
        <v/>
      </c>
      <c r="AC314" s="47" t="str">
        <f t="shared" si="42"/>
        <v/>
      </c>
      <c r="AD314" s="47" t="str">
        <f t="shared" si="43"/>
        <v/>
      </c>
      <c r="AE314" s="47" t="str">
        <f>IF(L207="","",L207)</f>
        <v/>
      </c>
      <c r="AF314" s="40" t="str">
        <f>IF(Z314&lt;&gt;"",IF(AG143="",""")],","), ac("),"")</f>
        <v/>
      </c>
    </row>
    <row r="315" spans="1:32" s="9" customFormat="1" ht="24.75" hidden="1" x14ac:dyDescent="0.4">
      <c r="A315" s="9" t="str">
        <f t="shared" si="27"/>
        <v>/* 44 */   [ac("", "cp0","")],</v>
      </c>
      <c r="B315" s="9">
        <f t="shared" si="25"/>
        <v>44</v>
      </c>
      <c r="D315" s="39" t="str">
        <f t="shared" si="44"/>
        <v/>
      </c>
      <c r="E315" s="40" t="s">
        <v>52</v>
      </c>
      <c r="F315" s="48" t="str">
        <f>IF(E208="","",E208)</f>
        <v/>
      </c>
      <c r="G315" s="49" t="s">
        <v>53</v>
      </c>
      <c r="H315" s="48" t="str">
        <f t="shared" si="28"/>
        <v/>
      </c>
      <c r="I315" s="49" t="s">
        <v>54</v>
      </c>
      <c r="J315" s="48" t="str">
        <f>IF(F208="","",F208)</f>
        <v/>
      </c>
      <c r="K315" s="40" t="str">
        <f t="shared" si="29"/>
        <v/>
      </c>
      <c r="L315" s="50" t="str">
        <f>IF(G208="","",G208)</f>
        <v/>
      </c>
      <c r="M315" s="51" t="str">
        <f t="shared" si="30"/>
        <v/>
      </c>
      <c r="N315" s="52" t="str">
        <f t="shared" si="31"/>
        <v/>
      </c>
      <c r="O315" s="50" t="str">
        <f t="shared" si="32"/>
        <v/>
      </c>
      <c r="P315" s="53" t="str">
        <f t="shared" si="33"/>
        <v/>
      </c>
      <c r="Q315" s="54" t="str">
        <f>IF(H208="","",H208)</f>
        <v/>
      </c>
      <c r="R315" s="40" t="str">
        <f t="shared" si="34"/>
        <v/>
      </c>
      <c r="S315" s="48" t="str">
        <f>IF(I208="","",I208)</f>
        <v/>
      </c>
      <c r="T315" s="48" t="str">
        <f t="shared" si="35"/>
        <v/>
      </c>
      <c r="U315" s="48" t="str">
        <f t="shared" si="36"/>
        <v/>
      </c>
      <c r="V315" s="48" t="str">
        <f t="shared" si="37"/>
        <v/>
      </c>
      <c r="W315" s="48" t="str">
        <f t="shared" si="38"/>
        <v/>
      </c>
      <c r="X315" s="48" t="str">
        <f>IF(J208="","",J208)</f>
        <v/>
      </c>
      <c r="Y315" s="40" t="str">
        <f t="shared" si="39"/>
        <v/>
      </c>
      <c r="Z315" s="54" t="str">
        <f>IF(K208="","",K208)</f>
        <v/>
      </c>
      <c r="AA315" s="54" t="str">
        <f t="shared" si="40"/>
        <v/>
      </c>
      <c r="AB315" s="54" t="str">
        <f t="shared" si="41"/>
        <v/>
      </c>
      <c r="AC315" s="54" t="str">
        <f t="shared" si="42"/>
        <v/>
      </c>
      <c r="AD315" s="54" t="str">
        <f t="shared" si="43"/>
        <v/>
      </c>
      <c r="AE315" s="54" t="str">
        <f>IF(L208="","",L208)</f>
        <v/>
      </c>
      <c r="AF315" s="40" t="str">
        <f>IF(Z315&lt;&gt;"",IF(AG144="",""")],","), ac("),"")</f>
        <v/>
      </c>
    </row>
    <row r="316" spans="1:32" s="9" customFormat="1" ht="24.75" hidden="1" x14ac:dyDescent="0.4">
      <c r="A316" s="9" t="str">
        <f t="shared" si="27"/>
        <v>/* 45 */   [ac("", "cp0","")],</v>
      </c>
      <c r="B316" s="9">
        <f t="shared" si="25"/>
        <v>45</v>
      </c>
      <c r="D316" s="39" t="str">
        <f t="shared" si="44"/>
        <v/>
      </c>
      <c r="E316" s="40" t="s">
        <v>52</v>
      </c>
      <c r="F316" s="41" t="str">
        <f>IF(E209="","",E209)</f>
        <v/>
      </c>
      <c r="G316" s="55" t="s">
        <v>53</v>
      </c>
      <c r="H316" s="41" t="str">
        <f t="shared" si="28"/>
        <v/>
      </c>
      <c r="I316" s="55" t="s">
        <v>54</v>
      </c>
      <c r="J316" s="41" t="str">
        <f>IF(F209="","",F209)</f>
        <v/>
      </c>
      <c r="K316" s="40" t="str">
        <f t="shared" si="29"/>
        <v/>
      </c>
      <c r="L316" s="43" t="str">
        <f>IF(G209="","",G209)</f>
        <v/>
      </c>
      <c r="M316" s="44" t="str">
        <f t="shared" si="30"/>
        <v/>
      </c>
      <c r="N316" s="45" t="str">
        <f t="shared" si="31"/>
        <v/>
      </c>
      <c r="O316" s="43" t="str">
        <f t="shared" si="32"/>
        <v/>
      </c>
      <c r="P316" s="46" t="str">
        <f t="shared" si="33"/>
        <v/>
      </c>
      <c r="Q316" s="47" t="str">
        <f>IF(H209="","",H209)</f>
        <v/>
      </c>
      <c r="R316" s="40" t="str">
        <f t="shared" si="34"/>
        <v/>
      </c>
      <c r="S316" s="41" t="str">
        <f>IF(I209="","",I209)</f>
        <v/>
      </c>
      <c r="T316" s="41" t="str">
        <f t="shared" si="35"/>
        <v/>
      </c>
      <c r="U316" s="41" t="str">
        <f t="shared" si="36"/>
        <v/>
      </c>
      <c r="V316" s="41" t="str">
        <f t="shared" si="37"/>
        <v/>
      </c>
      <c r="W316" s="41" t="str">
        <f t="shared" si="38"/>
        <v/>
      </c>
      <c r="X316" s="41" t="str">
        <f>IF(J209="","",J209)</f>
        <v/>
      </c>
      <c r="Y316" s="40" t="str">
        <f t="shared" si="39"/>
        <v/>
      </c>
      <c r="Z316" s="47" t="str">
        <f>IF(K209="","",K209)</f>
        <v/>
      </c>
      <c r="AA316" s="47" t="str">
        <f t="shared" si="40"/>
        <v/>
      </c>
      <c r="AB316" s="47" t="str">
        <f t="shared" si="41"/>
        <v/>
      </c>
      <c r="AC316" s="47" t="str">
        <f t="shared" si="42"/>
        <v/>
      </c>
      <c r="AD316" s="47" t="str">
        <f t="shared" si="43"/>
        <v/>
      </c>
      <c r="AE316" s="47" t="str">
        <f>IF(L209="","",L209)</f>
        <v/>
      </c>
      <c r="AF316" s="40" t="str">
        <f>IF(Z316&lt;&gt;"",IF(AG145="",""")],","), ac("),"")</f>
        <v/>
      </c>
    </row>
    <row r="317" spans="1:32" s="9" customFormat="1" ht="24.75" hidden="1" x14ac:dyDescent="0.4">
      <c r="A317" s="9" t="str">
        <f t="shared" si="27"/>
        <v>/* 46 */   [ac("", "cp0","")],</v>
      </c>
      <c r="B317" s="9">
        <f t="shared" si="25"/>
        <v>46</v>
      </c>
      <c r="D317" s="39" t="str">
        <f t="shared" si="44"/>
        <v/>
      </c>
      <c r="E317" s="40" t="s">
        <v>52</v>
      </c>
      <c r="F317" s="48" t="str">
        <f>IF(E210="","",E210)</f>
        <v/>
      </c>
      <c r="G317" s="49" t="s">
        <v>53</v>
      </c>
      <c r="H317" s="48" t="str">
        <f t="shared" si="28"/>
        <v/>
      </c>
      <c r="I317" s="49" t="s">
        <v>54</v>
      </c>
      <c r="J317" s="48" t="str">
        <f>IF(F210="","",F210)</f>
        <v/>
      </c>
      <c r="K317" s="40" t="str">
        <f t="shared" si="29"/>
        <v/>
      </c>
      <c r="L317" s="50" t="str">
        <f>IF(G210="","",G210)</f>
        <v/>
      </c>
      <c r="M317" s="51" t="str">
        <f t="shared" si="30"/>
        <v/>
      </c>
      <c r="N317" s="52" t="str">
        <f t="shared" si="31"/>
        <v/>
      </c>
      <c r="O317" s="50" t="str">
        <f t="shared" si="32"/>
        <v/>
      </c>
      <c r="P317" s="53" t="str">
        <f t="shared" si="33"/>
        <v/>
      </c>
      <c r="Q317" s="54" t="str">
        <f>IF(H210="","",H210)</f>
        <v/>
      </c>
      <c r="R317" s="40" t="str">
        <f t="shared" si="34"/>
        <v/>
      </c>
      <c r="S317" s="48" t="str">
        <f>IF(I210="","",I210)</f>
        <v/>
      </c>
      <c r="T317" s="48" t="str">
        <f t="shared" si="35"/>
        <v/>
      </c>
      <c r="U317" s="48" t="str">
        <f t="shared" si="36"/>
        <v/>
      </c>
      <c r="V317" s="48" t="str">
        <f t="shared" si="37"/>
        <v/>
      </c>
      <c r="W317" s="48" t="str">
        <f t="shared" si="38"/>
        <v/>
      </c>
      <c r="X317" s="48" t="str">
        <f>IF(J210="","",J210)</f>
        <v/>
      </c>
      <c r="Y317" s="40" t="str">
        <f t="shared" si="39"/>
        <v/>
      </c>
      <c r="Z317" s="54" t="str">
        <f>IF(K210="","",K210)</f>
        <v/>
      </c>
      <c r="AA317" s="54" t="str">
        <f t="shared" si="40"/>
        <v/>
      </c>
      <c r="AB317" s="54" t="str">
        <f t="shared" si="41"/>
        <v/>
      </c>
      <c r="AC317" s="54" t="str">
        <f t="shared" si="42"/>
        <v/>
      </c>
      <c r="AD317" s="54" t="str">
        <f t="shared" si="43"/>
        <v/>
      </c>
      <c r="AE317" s="54" t="str">
        <f>IF(L210="","",L210)</f>
        <v/>
      </c>
      <c r="AF317" s="40" t="str">
        <f>IF(Z317&lt;&gt;"",IF(AG146="",""")],","), ac("),"")</f>
        <v/>
      </c>
    </row>
    <row r="318" spans="1:32" s="9" customFormat="1" ht="24.75" hidden="1" x14ac:dyDescent="0.4">
      <c r="A318" s="9" t="str">
        <f t="shared" si="27"/>
        <v>/* 47 */   [ac("", "cp0","")],</v>
      </c>
      <c r="B318" s="9">
        <f t="shared" si="25"/>
        <v>47</v>
      </c>
      <c r="D318" s="39" t="str">
        <f t="shared" si="44"/>
        <v/>
      </c>
      <c r="E318" s="40" t="s">
        <v>52</v>
      </c>
      <c r="F318" s="41" t="str">
        <f>IF(E211="","",E211)</f>
        <v/>
      </c>
      <c r="G318" s="55" t="s">
        <v>53</v>
      </c>
      <c r="H318" s="41" t="str">
        <f t="shared" si="28"/>
        <v/>
      </c>
      <c r="I318" s="55" t="s">
        <v>54</v>
      </c>
      <c r="J318" s="41" t="str">
        <f>IF(F211="","",F211)</f>
        <v/>
      </c>
      <c r="K318" s="40" t="str">
        <f t="shared" si="29"/>
        <v/>
      </c>
      <c r="L318" s="43" t="str">
        <f>IF(G211="","",G211)</f>
        <v/>
      </c>
      <c r="M318" s="44" t="str">
        <f t="shared" si="30"/>
        <v/>
      </c>
      <c r="N318" s="45" t="str">
        <f t="shared" si="31"/>
        <v/>
      </c>
      <c r="O318" s="43" t="str">
        <f t="shared" si="32"/>
        <v/>
      </c>
      <c r="P318" s="46" t="str">
        <f t="shared" si="33"/>
        <v/>
      </c>
      <c r="Q318" s="47" t="str">
        <f>IF(H211="","",H211)</f>
        <v/>
      </c>
      <c r="R318" s="40" t="str">
        <f t="shared" si="34"/>
        <v/>
      </c>
      <c r="S318" s="41" t="str">
        <f>IF(I211="","",I211)</f>
        <v/>
      </c>
      <c r="T318" s="41" t="str">
        <f t="shared" si="35"/>
        <v/>
      </c>
      <c r="U318" s="41" t="str">
        <f t="shared" si="36"/>
        <v/>
      </c>
      <c r="V318" s="41" t="str">
        <f t="shared" si="37"/>
        <v/>
      </c>
      <c r="W318" s="41" t="str">
        <f t="shared" si="38"/>
        <v/>
      </c>
      <c r="X318" s="41" t="str">
        <f>IF(J211="","",J211)</f>
        <v/>
      </c>
      <c r="Y318" s="40" t="str">
        <f t="shared" si="39"/>
        <v/>
      </c>
      <c r="Z318" s="47" t="str">
        <f>IF(K211="","",K211)</f>
        <v/>
      </c>
      <c r="AA318" s="47" t="str">
        <f t="shared" si="40"/>
        <v/>
      </c>
      <c r="AB318" s="47" t="str">
        <f t="shared" si="41"/>
        <v/>
      </c>
      <c r="AC318" s="47" t="str">
        <f t="shared" si="42"/>
        <v/>
      </c>
      <c r="AD318" s="47" t="str">
        <f t="shared" si="43"/>
        <v/>
      </c>
      <c r="AE318" s="47" t="str">
        <f>IF(L211="","",L211)</f>
        <v/>
      </c>
      <c r="AF318" s="40" t="str">
        <f>IF(Z318&lt;&gt;"",IF(AG147="",""")],","), ac("),"")</f>
        <v/>
      </c>
    </row>
    <row r="319" spans="1:32" s="9" customFormat="1" ht="24.75" hidden="1" x14ac:dyDescent="0.4">
      <c r="A319" s="9" t="str">
        <f t="shared" si="27"/>
        <v>/* 48 */   [ac("", "cp0","")],</v>
      </c>
      <c r="B319" s="9">
        <f t="shared" si="25"/>
        <v>48</v>
      </c>
      <c r="D319" s="39" t="str">
        <f t="shared" si="44"/>
        <v/>
      </c>
      <c r="E319" s="40" t="s">
        <v>52</v>
      </c>
      <c r="F319" s="48" t="str">
        <f>IF(E212="","",E212)</f>
        <v/>
      </c>
      <c r="G319" s="49" t="s">
        <v>53</v>
      </c>
      <c r="H319" s="48" t="str">
        <f t="shared" si="28"/>
        <v/>
      </c>
      <c r="I319" s="49" t="s">
        <v>54</v>
      </c>
      <c r="J319" s="48" t="str">
        <f>IF(F212="","",F212)</f>
        <v/>
      </c>
      <c r="K319" s="40" t="str">
        <f t="shared" si="29"/>
        <v/>
      </c>
      <c r="L319" s="50" t="str">
        <f>IF(G212="","",G212)</f>
        <v/>
      </c>
      <c r="M319" s="51" t="str">
        <f t="shared" si="30"/>
        <v/>
      </c>
      <c r="N319" s="52" t="str">
        <f t="shared" si="31"/>
        <v/>
      </c>
      <c r="O319" s="50" t="str">
        <f t="shared" si="32"/>
        <v/>
      </c>
      <c r="P319" s="53" t="str">
        <f t="shared" si="33"/>
        <v/>
      </c>
      <c r="Q319" s="54" t="str">
        <f>IF(H212="","",H212)</f>
        <v/>
      </c>
      <c r="R319" s="40" t="str">
        <f t="shared" si="34"/>
        <v/>
      </c>
      <c r="S319" s="48" t="str">
        <f>IF(I212="","",I212)</f>
        <v/>
      </c>
      <c r="T319" s="48" t="str">
        <f t="shared" si="35"/>
        <v/>
      </c>
      <c r="U319" s="48" t="str">
        <f t="shared" si="36"/>
        <v/>
      </c>
      <c r="V319" s="48" t="str">
        <f t="shared" si="37"/>
        <v/>
      </c>
      <c r="W319" s="48" t="str">
        <f t="shared" si="38"/>
        <v/>
      </c>
      <c r="X319" s="48" t="str">
        <f>IF(J212="","",J212)</f>
        <v/>
      </c>
      <c r="Y319" s="40" t="str">
        <f t="shared" si="39"/>
        <v/>
      </c>
      <c r="Z319" s="54" t="str">
        <f>IF(K212="","",K212)</f>
        <v/>
      </c>
      <c r="AA319" s="54" t="str">
        <f t="shared" si="40"/>
        <v/>
      </c>
      <c r="AB319" s="54" t="str">
        <f t="shared" si="41"/>
        <v/>
      </c>
      <c r="AC319" s="54" t="str">
        <f t="shared" si="42"/>
        <v/>
      </c>
      <c r="AD319" s="54" t="str">
        <f t="shared" si="43"/>
        <v/>
      </c>
      <c r="AE319" s="54" t="str">
        <f>IF(L212="","",L212)</f>
        <v/>
      </c>
      <c r="AF319" s="40" t="str">
        <f>IF(Z319&lt;&gt;"",IF(AG148="",""")],","), ac("),"")</f>
        <v/>
      </c>
    </row>
    <row r="320" spans="1:32" s="9" customFormat="1" ht="24.75" hidden="1" x14ac:dyDescent="0.4">
      <c r="A320" s="9" t="str">
        <f t="shared" si="27"/>
        <v>/* 49 */   [ac("", "cp0","")],</v>
      </c>
      <c r="B320" s="9">
        <f t="shared" si="25"/>
        <v>49</v>
      </c>
      <c r="D320" s="39" t="str">
        <f t="shared" si="44"/>
        <v/>
      </c>
      <c r="E320" s="40" t="s">
        <v>52</v>
      </c>
      <c r="F320" s="41" t="str">
        <f>IF(E213="","",E213)</f>
        <v/>
      </c>
      <c r="G320" s="55" t="s">
        <v>53</v>
      </c>
      <c r="H320" s="41" t="str">
        <f t="shared" si="28"/>
        <v/>
      </c>
      <c r="I320" s="55" t="s">
        <v>54</v>
      </c>
      <c r="J320" s="41" t="str">
        <f>IF(F213="","",F213)</f>
        <v/>
      </c>
      <c r="K320" s="40" t="str">
        <f t="shared" si="29"/>
        <v/>
      </c>
      <c r="L320" s="43" t="str">
        <f>IF(G213="","",G213)</f>
        <v/>
      </c>
      <c r="M320" s="44" t="str">
        <f t="shared" si="30"/>
        <v/>
      </c>
      <c r="N320" s="45" t="str">
        <f t="shared" si="31"/>
        <v/>
      </c>
      <c r="O320" s="43" t="str">
        <f t="shared" si="32"/>
        <v/>
      </c>
      <c r="P320" s="46" t="str">
        <f t="shared" si="33"/>
        <v/>
      </c>
      <c r="Q320" s="47" t="str">
        <f>IF(H213="","",H213)</f>
        <v/>
      </c>
      <c r="R320" s="40" t="str">
        <f t="shared" si="34"/>
        <v/>
      </c>
      <c r="S320" s="41" t="str">
        <f>IF(I213="","",I213)</f>
        <v/>
      </c>
      <c r="T320" s="41" t="str">
        <f t="shared" si="35"/>
        <v/>
      </c>
      <c r="U320" s="41" t="str">
        <f t="shared" si="36"/>
        <v/>
      </c>
      <c r="V320" s="41" t="str">
        <f t="shared" si="37"/>
        <v/>
      </c>
      <c r="W320" s="41" t="str">
        <f t="shared" si="38"/>
        <v/>
      </c>
      <c r="X320" s="41" t="str">
        <f>IF(J213="","",J213)</f>
        <v/>
      </c>
      <c r="Y320" s="40" t="str">
        <f t="shared" si="39"/>
        <v/>
      </c>
      <c r="Z320" s="47" t="str">
        <f>IF(K213="","",K213)</f>
        <v/>
      </c>
      <c r="AA320" s="47" t="str">
        <f t="shared" si="40"/>
        <v/>
      </c>
      <c r="AB320" s="47" t="str">
        <f t="shared" si="41"/>
        <v/>
      </c>
      <c r="AC320" s="47" t="str">
        <f t="shared" si="42"/>
        <v/>
      </c>
      <c r="AD320" s="47" t="str">
        <f t="shared" si="43"/>
        <v/>
      </c>
      <c r="AE320" s="47" t="str">
        <f>IF(L213="","",L213)</f>
        <v/>
      </c>
      <c r="AF320" s="40" t="str">
        <f>IF(Z320&lt;&gt;"",IF(AG149="",""")],","), ac("),"")</f>
        <v/>
      </c>
    </row>
    <row r="321" spans="1:32" s="9" customFormat="1" ht="24.75" hidden="1" x14ac:dyDescent="0.4">
      <c r="A321" s="9" t="str">
        <f t="shared" si="27"/>
        <v>/* 50 */   [ac("", "cp0","")],</v>
      </c>
      <c r="B321" s="9">
        <f t="shared" si="25"/>
        <v>50</v>
      </c>
      <c r="D321" s="39" t="str">
        <f t="shared" si="44"/>
        <v/>
      </c>
      <c r="E321" s="40" t="s">
        <v>52</v>
      </c>
      <c r="F321" s="48" t="str">
        <f>IF(E214="","",E214)</f>
        <v/>
      </c>
      <c r="G321" s="49" t="s">
        <v>53</v>
      </c>
      <c r="H321" s="48" t="str">
        <f t="shared" si="28"/>
        <v/>
      </c>
      <c r="I321" s="49" t="s">
        <v>54</v>
      </c>
      <c r="J321" s="48" t="str">
        <f>IF(F214="","",F214)</f>
        <v/>
      </c>
      <c r="K321" s="40" t="str">
        <f t="shared" si="29"/>
        <v/>
      </c>
      <c r="L321" s="50" t="str">
        <f>IF(G214="","",G214)</f>
        <v/>
      </c>
      <c r="M321" s="51" t="str">
        <f t="shared" si="30"/>
        <v/>
      </c>
      <c r="N321" s="52" t="str">
        <f t="shared" si="31"/>
        <v/>
      </c>
      <c r="O321" s="50" t="str">
        <f t="shared" si="32"/>
        <v/>
      </c>
      <c r="P321" s="53" t="str">
        <f t="shared" si="33"/>
        <v/>
      </c>
      <c r="Q321" s="54" t="str">
        <f>IF(H214="","",H214)</f>
        <v/>
      </c>
      <c r="R321" s="40" t="str">
        <f t="shared" si="34"/>
        <v/>
      </c>
      <c r="S321" s="48" t="str">
        <f>IF(I214="","",I214)</f>
        <v/>
      </c>
      <c r="T321" s="48" t="str">
        <f t="shared" si="35"/>
        <v/>
      </c>
      <c r="U321" s="48" t="str">
        <f t="shared" si="36"/>
        <v/>
      </c>
      <c r="V321" s="48" t="str">
        <f t="shared" si="37"/>
        <v/>
      </c>
      <c r="W321" s="48" t="str">
        <f t="shared" si="38"/>
        <v/>
      </c>
      <c r="X321" s="48" t="str">
        <f>IF(J214="","",J214)</f>
        <v/>
      </c>
      <c r="Y321" s="40" t="str">
        <f t="shared" si="39"/>
        <v/>
      </c>
      <c r="Z321" s="54" t="str">
        <f>IF(K214="","",K214)</f>
        <v/>
      </c>
      <c r="AA321" s="54" t="str">
        <f t="shared" si="40"/>
        <v/>
      </c>
      <c r="AB321" s="54" t="str">
        <f t="shared" si="41"/>
        <v/>
      </c>
      <c r="AC321" s="54" t="str">
        <f t="shared" si="42"/>
        <v/>
      </c>
      <c r="AD321" s="54" t="str">
        <f t="shared" si="43"/>
        <v/>
      </c>
      <c r="AE321" s="54" t="str">
        <f>IF(L214="","",L214)</f>
        <v/>
      </c>
      <c r="AF321" s="40" t="str">
        <f>IF(Z321&lt;&gt;"",IF(AG150="",""")],","), ac("),"")</f>
        <v/>
      </c>
    </row>
    <row r="322" spans="1:32" s="9" customFormat="1" ht="24.75" hidden="1" x14ac:dyDescent="0.4">
      <c r="A322" s="9" t="str">
        <f t="shared" si="27"/>
        <v>/* 51 */   [ac("", "cp0","")],</v>
      </c>
      <c r="B322" s="9">
        <f t="shared" si="25"/>
        <v>51</v>
      </c>
      <c r="D322" s="39" t="str">
        <f t="shared" si="44"/>
        <v/>
      </c>
      <c r="E322" s="40" t="s">
        <v>52</v>
      </c>
      <c r="F322" s="41" t="str">
        <f>IF(E215="","",E215)</f>
        <v/>
      </c>
      <c r="G322" s="55" t="s">
        <v>53</v>
      </c>
      <c r="H322" s="41" t="str">
        <f t="shared" si="28"/>
        <v/>
      </c>
      <c r="I322" s="55" t="s">
        <v>54</v>
      </c>
      <c r="J322" s="41" t="str">
        <f>IF(F215="","",F215)</f>
        <v/>
      </c>
      <c r="K322" s="40" t="str">
        <f t="shared" si="29"/>
        <v/>
      </c>
      <c r="L322" s="43" t="str">
        <f>IF(G215="","",G215)</f>
        <v/>
      </c>
      <c r="M322" s="44" t="str">
        <f t="shared" si="30"/>
        <v/>
      </c>
      <c r="N322" s="45" t="str">
        <f t="shared" si="31"/>
        <v/>
      </c>
      <c r="O322" s="43" t="str">
        <f t="shared" si="32"/>
        <v/>
      </c>
      <c r="P322" s="46" t="str">
        <f t="shared" si="33"/>
        <v/>
      </c>
      <c r="Q322" s="47" t="str">
        <f>IF(H215="","",H215)</f>
        <v/>
      </c>
      <c r="R322" s="40" t="str">
        <f t="shared" si="34"/>
        <v/>
      </c>
      <c r="S322" s="41" t="str">
        <f>IF(I215="","",I215)</f>
        <v/>
      </c>
      <c r="T322" s="41" t="str">
        <f t="shared" si="35"/>
        <v/>
      </c>
      <c r="U322" s="41" t="str">
        <f t="shared" si="36"/>
        <v/>
      </c>
      <c r="V322" s="41" t="str">
        <f t="shared" si="37"/>
        <v/>
      </c>
      <c r="W322" s="41" t="str">
        <f t="shared" si="38"/>
        <v/>
      </c>
      <c r="X322" s="41" t="str">
        <f>IF(J215="","",J215)</f>
        <v/>
      </c>
      <c r="Y322" s="40" t="str">
        <f t="shared" si="39"/>
        <v/>
      </c>
      <c r="Z322" s="47" t="str">
        <f>IF(K215="","",K215)</f>
        <v/>
      </c>
      <c r="AA322" s="47" t="str">
        <f t="shared" si="40"/>
        <v/>
      </c>
      <c r="AB322" s="47" t="str">
        <f t="shared" si="41"/>
        <v/>
      </c>
      <c r="AC322" s="47" t="str">
        <f t="shared" si="42"/>
        <v/>
      </c>
      <c r="AD322" s="47" t="str">
        <f t="shared" si="43"/>
        <v/>
      </c>
      <c r="AE322" s="47" t="str">
        <f>IF(L215="","",L215)</f>
        <v/>
      </c>
      <c r="AF322" s="40" t="str">
        <f>IF(Z322&lt;&gt;"",IF(AG151="",""")],","), ac("),"")</f>
        <v/>
      </c>
    </row>
    <row r="323" spans="1:32" s="9" customFormat="1" ht="24.75" hidden="1" x14ac:dyDescent="0.4">
      <c r="A323" s="9" t="str">
        <f t="shared" si="27"/>
        <v>/* 52 */   [ac("", "cp0","")],</v>
      </c>
      <c r="B323" s="9">
        <f t="shared" si="25"/>
        <v>52</v>
      </c>
      <c r="D323" s="39" t="str">
        <f t="shared" si="44"/>
        <v/>
      </c>
      <c r="E323" s="40" t="s">
        <v>52</v>
      </c>
      <c r="F323" s="48" t="str">
        <f>IF(E216="","",E216)</f>
        <v/>
      </c>
      <c r="G323" s="49" t="s">
        <v>53</v>
      </c>
      <c r="H323" s="48" t="str">
        <f t="shared" si="28"/>
        <v/>
      </c>
      <c r="I323" s="49" t="s">
        <v>54</v>
      </c>
      <c r="J323" s="48" t="str">
        <f>IF(F216="","",F216)</f>
        <v/>
      </c>
      <c r="K323" s="40" t="str">
        <f t="shared" si="29"/>
        <v/>
      </c>
      <c r="L323" s="50" t="str">
        <f>IF(G216="","",G216)</f>
        <v/>
      </c>
      <c r="M323" s="51" t="str">
        <f t="shared" si="30"/>
        <v/>
      </c>
      <c r="N323" s="52" t="str">
        <f t="shared" si="31"/>
        <v/>
      </c>
      <c r="O323" s="50" t="str">
        <f t="shared" si="32"/>
        <v/>
      </c>
      <c r="P323" s="53" t="str">
        <f t="shared" si="33"/>
        <v/>
      </c>
      <c r="Q323" s="54" t="str">
        <f>IF(H216="","",H216)</f>
        <v/>
      </c>
      <c r="R323" s="40" t="str">
        <f t="shared" si="34"/>
        <v/>
      </c>
      <c r="S323" s="48" t="str">
        <f>IF(I216="","",I216)</f>
        <v/>
      </c>
      <c r="T323" s="48" t="str">
        <f t="shared" si="35"/>
        <v/>
      </c>
      <c r="U323" s="48" t="str">
        <f t="shared" si="36"/>
        <v/>
      </c>
      <c r="V323" s="48" t="str">
        <f t="shared" si="37"/>
        <v/>
      </c>
      <c r="W323" s="48" t="str">
        <f t="shared" si="38"/>
        <v/>
      </c>
      <c r="X323" s="48" t="str">
        <f>IF(J216="","",J216)</f>
        <v/>
      </c>
      <c r="Y323" s="40" t="str">
        <f t="shared" si="39"/>
        <v/>
      </c>
      <c r="Z323" s="54" t="str">
        <f>IF(K216="","",K216)</f>
        <v/>
      </c>
      <c r="AA323" s="54" t="str">
        <f t="shared" si="40"/>
        <v/>
      </c>
      <c r="AB323" s="54" t="str">
        <f t="shared" si="41"/>
        <v/>
      </c>
      <c r="AC323" s="54" t="str">
        <f t="shared" si="42"/>
        <v/>
      </c>
      <c r="AD323" s="54" t="str">
        <f t="shared" si="43"/>
        <v/>
      </c>
      <c r="AE323" s="54" t="str">
        <f>IF(L216="","",L216)</f>
        <v/>
      </c>
      <c r="AF323" s="40" t="str">
        <f>IF(Z323&lt;&gt;"",IF(AG152="",""")],","), ac("),"")</f>
        <v/>
      </c>
    </row>
    <row r="324" spans="1:32" s="9" customFormat="1" ht="24.75" hidden="1" x14ac:dyDescent="0.4">
      <c r="A324" s="9" t="str">
        <f t="shared" si="27"/>
        <v>/* 53 */   [ac("", "cp0","")],</v>
      </c>
      <c r="B324" s="9">
        <f t="shared" si="25"/>
        <v>53</v>
      </c>
      <c r="D324" s="39" t="str">
        <f t="shared" si="44"/>
        <v/>
      </c>
      <c r="E324" s="40" t="s">
        <v>52</v>
      </c>
      <c r="F324" s="41" t="str">
        <f>IF(E217="","",E217)</f>
        <v/>
      </c>
      <c r="G324" s="55" t="s">
        <v>53</v>
      </c>
      <c r="H324" s="41" t="str">
        <f t="shared" si="28"/>
        <v/>
      </c>
      <c r="I324" s="55" t="s">
        <v>54</v>
      </c>
      <c r="J324" s="41" t="str">
        <f>IF(F217="","",F217)</f>
        <v/>
      </c>
      <c r="K324" s="40" t="str">
        <f t="shared" si="29"/>
        <v/>
      </c>
      <c r="L324" s="43" t="str">
        <f>IF(G217="","",G217)</f>
        <v/>
      </c>
      <c r="M324" s="44" t="str">
        <f t="shared" si="30"/>
        <v/>
      </c>
      <c r="N324" s="45" t="str">
        <f t="shared" si="31"/>
        <v/>
      </c>
      <c r="O324" s="43" t="str">
        <f t="shared" si="32"/>
        <v/>
      </c>
      <c r="P324" s="46" t="str">
        <f t="shared" si="33"/>
        <v/>
      </c>
      <c r="Q324" s="47" t="str">
        <f>IF(H217="","",H217)</f>
        <v/>
      </c>
      <c r="R324" s="40" t="str">
        <f t="shared" si="34"/>
        <v/>
      </c>
      <c r="S324" s="41" t="str">
        <f>IF(I217="","",I217)</f>
        <v/>
      </c>
      <c r="T324" s="41" t="str">
        <f t="shared" si="35"/>
        <v/>
      </c>
      <c r="U324" s="41" t="str">
        <f t="shared" si="36"/>
        <v/>
      </c>
      <c r="V324" s="41" t="str">
        <f t="shared" si="37"/>
        <v/>
      </c>
      <c r="W324" s="41" t="str">
        <f t="shared" si="38"/>
        <v/>
      </c>
      <c r="X324" s="41" t="str">
        <f>IF(J217="","",J217)</f>
        <v/>
      </c>
      <c r="Y324" s="40" t="str">
        <f t="shared" si="39"/>
        <v/>
      </c>
      <c r="Z324" s="47" t="str">
        <f>IF(K217="","",K217)</f>
        <v/>
      </c>
      <c r="AA324" s="47" t="str">
        <f t="shared" si="40"/>
        <v/>
      </c>
      <c r="AB324" s="47" t="str">
        <f t="shared" si="41"/>
        <v/>
      </c>
      <c r="AC324" s="47" t="str">
        <f t="shared" si="42"/>
        <v/>
      </c>
      <c r="AD324" s="47" t="str">
        <f t="shared" si="43"/>
        <v/>
      </c>
      <c r="AE324" s="47" t="str">
        <f>IF(L217="","",L217)</f>
        <v/>
      </c>
      <c r="AF324" s="40" t="str">
        <f>IF(Z324&lt;&gt;"",IF(AG153="",""")],","), ac("),"")</f>
        <v/>
      </c>
    </row>
    <row r="325" spans="1:32" s="9" customFormat="1" ht="24.75" hidden="1" x14ac:dyDescent="0.4">
      <c r="A325" s="9" t="str">
        <f t="shared" si="27"/>
        <v>/* 54 */   [ac("", "cp0","")],</v>
      </c>
      <c r="B325" s="9">
        <f t="shared" si="25"/>
        <v>54</v>
      </c>
      <c r="D325" s="39" t="str">
        <f t="shared" si="44"/>
        <v/>
      </c>
      <c r="E325" s="40" t="s">
        <v>52</v>
      </c>
      <c r="F325" s="48" t="str">
        <f>IF(E218="","",E218)</f>
        <v/>
      </c>
      <c r="G325" s="49" t="s">
        <v>53</v>
      </c>
      <c r="H325" s="48" t="str">
        <f t="shared" si="28"/>
        <v/>
      </c>
      <c r="I325" s="49" t="s">
        <v>54</v>
      </c>
      <c r="J325" s="48" t="str">
        <f>IF(F218="","",F218)</f>
        <v/>
      </c>
      <c r="K325" s="40" t="str">
        <f t="shared" si="29"/>
        <v/>
      </c>
      <c r="L325" s="50" t="str">
        <f>IF(G218="","",G218)</f>
        <v/>
      </c>
      <c r="M325" s="51" t="str">
        <f t="shared" si="30"/>
        <v/>
      </c>
      <c r="N325" s="52" t="str">
        <f t="shared" si="31"/>
        <v/>
      </c>
      <c r="O325" s="50" t="str">
        <f t="shared" si="32"/>
        <v/>
      </c>
      <c r="P325" s="53" t="str">
        <f t="shared" si="33"/>
        <v/>
      </c>
      <c r="Q325" s="54" t="str">
        <f>IF(H218="","",H218)</f>
        <v/>
      </c>
      <c r="R325" s="40" t="str">
        <f t="shared" si="34"/>
        <v/>
      </c>
      <c r="S325" s="48" t="str">
        <f>IF(I218="","",I218)</f>
        <v/>
      </c>
      <c r="T325" s="48" t="str">
        <f t="shared" si="35"/>
        <v/>
      </c>
      <c r="U325" s="48" t="str">
        <f t="shared" si="36"/>
        <v/>
      </c>
      <c r="V325" s="48" t="str">
        <f t="shared" si="37"/>
        <v/>
      </c>
      <c r="W325" s="48" t="str">
        <f t="shared" si="38"/>
        <v/>
      </c>
      <c r="X325" s="48" t="str">
        <f>IF(J218="","",J218)</f>
        <v/>
      </c>
      <c r="Y325" s="40" t="str">
        <f t="shared" si="39"/>
        <v/>
      </c>
      <c r="Z325" s="54" t="str">
        <f>IF(K218="","",K218)</f>
        <v/>
      </c>
      <c r="AA325" s="54" t="str">
        <f t="shared" si="40"/>
        <v/>
      </c>
      <c r="AB325" s="54" t="str">
        <f t="shared" si="41"/>
        <v/>
      </c>
      <c r="AC325" s="54" t="str">
        <f t="shared" si="42"/>
        <v/>
      </c>
      <c r="AD325" s="54" t="str">
        <f t="shared" si="43"/>
        <v/>
      </c>
      <c r="AE325" s="54" t="str">
        <f>IF(L218="","",L218)</f>
        <v/>
      </c>
      <c r="AF325" s="40" t="str">
        <f>IF(Z325&lt;&gt;"",IF(AG154="",""")],","), ac("),"")</f>
        <v/>
      </c>
    </row>
    <row r="326" spans="1:32" s="9" customFormat="1" ht="24.75" hidden="1" x14ac:dyDescent="0.4">
      <c r="A326" s="9" t="str">
        <f t="shared" si="27"/>
        <v>/* 55 */   [ac("", "cp0","")],</v>
      </c>
      <c r="B326" s="9">
        <f t="shared" si="25"/>
        <v>55</v>
      </c>
      <c r="D326" s="39" t="str">
        <f t="shared" si="44"/>
        <v/>
      </c>
      <c r="E326" s="40" t="s">
        <v>52</v>
      </c>
      <c r="F326" s="41" t="str">
        <f>IF(E219="","",E219)</f>
        <v/>
      </c>
      <c r="G326" s="55" t="s">
        <v>53</v>
      </c>
      <c r="H326" s="41" t="str">
        <f t="shared" si="28"/>
        <v/>
      </c>
      <c r="I326" s="55" t="s">
        <v>54</v>
      </c>
      <c r="J326" s="41" t="str">
        <f>IF(F219="","",F219)</f>
        <v/>
      </c>
      <c r="K326" s="40" t="str">
        <f t="shared" si="29"/>
        <v/>
      </c>
      <c r="L326" s="43" t="str">
        <f>IF(G219="","",G219)</f>
        <v/>
      </c>
      <c r="M326" s="44" t="str">
        <f t="shared" si="30"/>
        <v/>
      </c>
      <c r="N326" s="45" t="str">
        <f t="shared" si="31"/>
        <v/>
      </c>
      <c r="O326" s="43" t="str">
        <f t="shared" si="32"/>
        <v/>
      </c>
      <c r="P326" s="46" t="str">
        <f t="shared" si="33"/>
        <v/>
      </c>
      <c r="Q326" s="47" t="str">
        <f>IF(H219="","",H219)</f>
        <v/>
      </c>
      <c r="R326" s="40" t="str">
        <f t="shared" si="34"/>
        <v/>
      </c>
      <c r="S326" s="41" t="str">
        <f>IF(I219="","",I219)</f>
        <v/>
      </c>
      <c r="T326" s="41" t="str">
        <f t="shared" si="35"/>
        <v/>
      </c>
      <c r="U326" s="41" t="str">
        <f t="shared" si="36"/>
        <v/>
      </c>
      <c r="V326" s="41" t="str">
        <f t="shared" si="37"/>
        <v/>
      </c>
      <c r="W326" s="41" t="str">
        <f t="shared" si="38"/>
        <v/>
      </c>
      <c r="X326" s="41" t="str">
        <f>IF(J219="","",J219)</f>
        <v/>
      </c>
      <c r="Y326" s="40" t="str">
        <f t="shared" si="39"/>
        <v/>
      </c>
      <c r="Z326" s="47" t="str">
        <f>IF(K219="","",K219)</f>
        <v/>
      </c>
      <c r="AA326" s="47" t="str">
        <f t="shared" si="40"/>
        <v/>
      </c>
      <c r="AB326" s="47" t="str">
        <f t="shared" si="41"/>
        <v/>
      </c>
      <c r="AC326" s="47" t="str">
        <f t="shared" si="42"/>
        <v/>
      </c>
      <c r="AD326" s="47" t="str">
        <f t="shared" si="43"/>
        <v/>
      </c>
      <c r="AE326" s="47" t="str">
        <f>IF(L219="","",L219)</f>
        <v/>
      </c>
      <c r="AF326" s="40" t="str">
        <f>IF(Z326&lt;&gt;"",IF(AG155="",""")],","), ac("),"")</f>
        <v/>
      </c>
    </row>
    <row r="327" spans="1:32" s="9" customFormat="1" ht="24.75" hidden="1" x14ac:dyDescent="0.4">
      <c r="A327" s="9" t="str">
        <f t="shared" si="27"/>
        <v>/* 56 */   [ac("", "cp0","")],</v>
      </c>
      <c r="B327" s="9">
        <f t="shared" si="25"/>
        <v>56</v>
      </c>
      <c r="D327" s="39" t="str">
        <f t="shared" si="44"/>
        <v/>
      </c>
      <c r="E327" s="40" t="s">
        <v>52</v>
      </c>
      <c r="F327" s="48" t="str">
        <f>IF(E220="","",E220)</f>
        <v/>
      </c>
      <c r="G327" s="49" t="s">
        <v>53</v>
      </c>
      <c r="H327" s="48" t="str">
        <f t="shared" si="28"/>
        <v/>
      </c>
      <c r="I327" s="49" t="s">
        <v>54</v>
      </c>
      <c r="J327" s="48" t="str">
        <f>IF(F220="","",F220)</f>
        <v/>
      </c>
      <c r="K327" s="40" t="str">
        <f t="shared" si="29"/>
        <v/>
      </c>
      <c r="L327" s="50" t="str">
        <f>IF(G220="","",G220)</f>
        <v/>
      </c>
      <c r="M327" s="51" t="str">
        <f t="shared" si="30"/>
        <v/>
      </c>
      <c r="N327" s="52" t="str">
        <f t="shared" si="31"/>
        <v/>
      </c>
      <c r="O327" s="50" t="str">
        <f t="shared" si="32"/>
        <v/>
      </c>
      <c r="P327" s="53" t="str">
        <f t="shared" si="33"/>
        <v/>
      </c>
      <c r="Q327" s="54" t="str">
        <f>IF(H220="","",H220)</f>
        <v/>
      </c>
      <c r="R327" s="40" t="str">
        <f t="shared" si="34"/>
        <v/>
      </c>
      <c r="S327" s="48" t="str">
        <f>IF(I220="","",I220)</f>
        <v/>
      </c>
      <c r="T327" s="48" t="str">
        <f t="shared" si="35"/>
        <v/>
      </c>
      <c r="U327" s="48" t="str">
        <f t="shared" si="36"/>
        <v/>
      </c>
      <c r="V327" s="48" t="str">
        <f t="shared" si="37"/>
        <v/>
      </c>
      <c r="W327" s="48" t="str">
        <f t="shared" si="38"/>
        <v/>
      </c>
      <c r="X327" s="48" t="str">
        <f>IF(J220="","",J220)</f>
        <v/>
      </c>
      <c r="Y327" s="40" t="str">
        <f t="shared" si="39"/>
        <v/>
      </c>
      <c r="Z327" s="54" t="str">
        <f>IF(K220="","",K220)</f>
        <v/>
      </c>
      <c r="AA327" s="54" t="str">
        <f t="shared" si="40"/>
        <v/>
      </c>
      <c r="AB327" s="54" t="str">
        <f t="shared" si="41"/>
        <v/>
      </c>
      <c r="AC327" s="54" t="str">
        <f t="shared" si="42"/>
        <v/>
      </c>
      <c r="AD327" s="54" t="str">
        <f t="shared" si="43"/>
        <v/>
      </c>
      <c r="AE327" s="54" t="str">
        <f>IF(L220="","",L220)</f>
        <v/>
      </c>
      <c r="AF327" s="40" t="str">
        <f>IF(Z327&lt;&gt;"",IF(AG156="",""")],","), ac("),"")</f>
        <v/>
      </c>
    </row>
    <row r="328" spans="1:32" s="9" customFormat="1" ht="24.75" hidden="1" x14ac:dyDescent="0.4">
      <c r="A328" s="9" t="str">
        <f t="shared" si="27"/>
        <v>/* 57 */   [ac("", "cp0","")],</v>
      </c>
      <c r="B328" s="9">
        <f t="shared" si="25"/>
        <v>57</v>
      </c>
      <c r="D328" s="39" t="str">
        <f t="shared" si="44"/>
        <v/>
      </c>
      <c r="E328" s="40" t="s">
        <v>52</v>
      </c>
      <c r="F328" s="41" t="str">
        <f>IF(E221="","",E221)</f>
        <v/>
      </c>
      <c r="G328" s="55" t="s">
        <v>53</v>
      </c>
      <c r="H328" s="41" t="str">
        <f t="shared" si="28"/>
        <v/>
      </c>
      <c r="I328" s="55" t="s">
        <v>54</v>
      </c>
      <c r="J328" s="41" t="str">
        <f>IF(F221="","",F221)</f>
        <v/>
      </c>
      <c r="K328" s="40" t="str">
        <f t="shared" si="29"/>
        <v/>
      </c>
      <c r="L328" s="43" t="str">
        <f>IF(G221="","",G221)</f>
        <v/>
      </c>
      <c r="M328" s="44" t="str">
        <f t="shared" si="30"/>
        <v/>
      </c>
      <c r="N328" s="45" t="str">
        <f t="shared" si="31"/>
        <v/>
      </c>
      <c r="O328" s="43" t="str">
        <f t="shared" si="32"/>
        <v/>
      </c>
      <c r="P328" s="46" t="str">
        <f t="shared" si="33"/>
        <v/>
      </c>
      <c r="Q328" s="47" t="str">
        <f>IF(H221="","",H221)</f>
        <v/>
      </c>
      <c r="R328" s="40" t="str">
        <f t="shared" si="34"/>
        <v/>
      </c>
      <c r="S328" s="41" t="str">
        <f>IF(I221="","",I221)</f>
        <v/>
      </c>
      <c r="T328" s="41" t="str">
        <f t="shared" si="35"/>
        <v/>
      </c>
      <c r="U328" s="41" t="str">
        <f t="shared" si="36"/>
        <v/>
      </c>
      <c r="V328" s="41" t="str">
        <f t="shared" si="37"/>
        <v/>
      </c>
      <c r="W328" s="41" t="str">
        <f t="shared" si="38"/>
        <v/>
      </c>
      <c r="X328" s="41" t="str">
        <f>IF(J221="","",J221)</f>
        <v/>
      </c>
      <c r="Y328" s="40" t="str">
        <f t="shared" si="39"/>
        <v/>
      </c>
      <c r="Z328" s="47" t="str">
        <f>IF(K221="","",K221)</f>
        <v/>
      </c>
      <c r="AA328" s="47" t="str">
        <f t="shared" si="40"/>
        <v/>
      </c>
      <c r="AB328" s="47" t="str">
        <f t="shared" si="41"/>
        <v/>
      </c>
      <c r="AC328" s="47" t="str">
        <f t="shared" si="42"/>
        <v/>
      </c>
      <c r="AD328" s="47" t="str">
        <f t="shared" si="43"/>
        <v/>
      </c>
      <c r="AE328" s="47" t="str">
        <f>IF(L221="","",L221)</f>
        <v/>
      </c>
      <c r="AF328" s="40" t="str">
        <f>IF(Z328&lt;&gt;"",IF(AG157="",""")],","), ac("),"")</f>
        <v/>
      </c>
    </row>
    <row r="329" spans="1:32" s="9" customFormat="1" ht="24.75" hidden="1" x14ac:dyDescent="0.4">
      <c r="A329" s="9" t="str">
        <f t="shared" si="27"/>
        <v>/* 58 */   [ac("", "cp0","")],</v>
      </c>
      <c r="B329" s="9">
        <f t="shared" si="25"/>
        <v>58</v>
      </c>
      <c r="D329" s="39" t="str">
        <f t="shared" si="44"/>
        <v/>
      </c>
      <c r="E329" s="40" t="s">
        <v>52</v>
      </c>
      <c r="F329" s="48" t="str">
        <f>IF(E222="","",E222)</f>
        <v/>
      </c>
      <c r="G329" s="49" t="s">
        <v>53</v>
      </c>
      <c r="H329" s="48" t="str">
        <f t="shared" si="28"/>
        <v/>
      </c>
      <c r="I329" s="49" t="s">
        <v>54</v>
      </c>
      <c r="J329" s="48" t="str">
        <f>IF(F222="","",F222)</f>
        <v/>
      </c>
      <c r="K329" s="40" t="str">
        <f t="shared" si="29"/>
        <v/>
      </c>
      <c r="L329" s="50" t="str">
        <f>IF(G222="","",G222)</f>
        <v/>
      </c>
      <c r="M329" s="51" t="str">
        <f t="shared" si="30"/>
        <v/>
      </c>
      <c r="N329" s="52" t="str">
        <f t="shared" si="31"/>
        <v/>
      </c>
      <c r="O329" s="50" t="str">
        <f t="shared" si="32"/>
        <v/>
      </c>
      <c r="P329" s="53" t="str">
        <f t="shared" si="33"/>
        <v/>
      </c>
      <c r="Q329" s="54" t="str">
        <f>IF(H222="","",H222)</f>
        <v/>
      </c>
      <c r="R329" s="40" t="str">
        <f t="shared" si="34"/>
        <v/>
      </c>
      <c r="S329" s="48" t="str">
        <f>IF(I222="","",I222)</f>
        <v/>
      </c>
      <c r="T329" s="48" t="str">
        <f t="shared" si="35"/>
        <v/>
      </c>
      <c r="U329" s="48" t="str">
        <f t="shared" si="36"/>
        <v/>
      </c>
      <c r="V329" s="48" t="str">
        <f t="shared" si="37"/>
        <v/>
      </c>
      <c r="W329" s="48" t="str">
        <f t="shared" si="38"/>
        <v/>
      </c>
      <c r="X329" s="48" t="str">
        <f>IF(J222="","",J222)</f>
        <v/>
      </c>
      <c r="Y329" s="40" t="str">
        <f t="shared" si="39"/>
        <v/>
      </c>
      <c r="Z329" s="54" t="str">
        <f>IF(K222="","",K222)</f>
        <v/>
      </c>
      <c r="AA329" s="54" t="str">
        <f t="shared" si="40"/>
        <v/>
      </c>
      <c r="AB329" s="54" t="str">
        <f t="shared" si="41"/>
        <v/>
      </c>
      <c r="AC329" s="54" t="str">
        <f t="shared" si="42"/>
        <v/>
      </c>
      <c r="AD329" s="54" t="str">
        <f t="shared" si="43"/>
        <v/>
      </c>
      <c r="AE329" s="54" t="str">
        <f>IF(L222="","",L222)</f>
        <v/>
      </c>
      <c r="AF329" s="40" t="str">
        <f>IF(Z329&lt;&gt;"",IF(AG158="",""")],","), ac("),"")</f>
        <v/>
      </c>
    </row>
    <row r="330" spans="1:32" s="9" customFormat="1" ht="24.75" hidden="1" x14ac:dyDescent="0.4">
      <c r="A330" s="9" t="str">
        <f t="shared" si="27"/>
        <v>/* 59 */   [ac("", "cp0","")],</v>
      </c>
      <c r="B330" s="9">
        <f t="shared" si="25"/>
        <v>59</v>
      </c>
      <c r="D330" s="39" t="str">
        <f t="shared" si="44"/>
        <v/>
      </c>
      <c r="E330" s="40" t="s">
        <v>52</v>
      </c>
      <c r="F330" s="41" t="str">
        <f>IF(E223="","",E223)</f>
        <v/>
      </c>
      <c r="G330" s="55" t="s">
        <v>53</v>
      </c>
      <c r="H330" s="41" t="str">
        <f t="shared" si="28"/>
        <v/>
      </c>
      <c r="I330" s="55" t="s">
        <v>54</v>
      </c>
      <c r="J330" s="41" t="str">
        <f>IF(F223="","",F223)</f>
        <v/>
      </c>
      <c r="K330" s="40" t="str">
        <f t="shared" si="29"/>
        <v/>
      </c>
      <c r="L330" s="43" t="str">
        <f>IF(G223="","",G223)</f>
        <v/>
      </c>
      <c r="M330" s="44" t="str">
        <f t="shared" si="30"/>
        <v/>
      </c>
      <c r="N330" s="45" t="str">
        <f t="shared" si="31"/>
        <v/>
      </c>
      <c r="O330" s="43" t="str">
        <f t="shared" si="32"/>
        <v/>
      </c>
      <c r="P330" s="46" t="str">
        <f t="shared" si="33"/>
        <v/>
      </c>
      <c r="Q330" s="47" t="str">
        <f>IF(H223="","",H223)</f>
        <v/>
      </c>
      <c r="R330" s="40" t="str">
        <f t="shared" si="34"/>
        <v/>
      </c>
      <c r="S330" s="41" t="str">
        <f>IF(I223="","",I223)</f>
        <v/>
      </c>
      <c r="T330" s="41" t="str">
        <f t="shared" si="35"/>
        <v/>
      </c>
      <c r="U330" s="41" t="str">
        <f t="shared" si="36"/>
        <v/>
      </c>
      <c r="V330" s="41" t="str">
        <f t="shared" si="37"/>
        <v/>
      </c>
      <c r="W330" s="41" t="str">
        <f t="shared" si="38"/>
        <v/>
      </c>
      <c r="X330" s="41" t="str">
        <f>IF(J223="","",J223)</f>
        <v/>
      </c>
      <c r="Y330" s="40" t="str">
        <f t="shared" si="39"/>
        <v/>
      </c>
      <c r="Z330" s="47" t="str">
        <f>IF(K223="","",K223)</f>
        <v/>
      </c>
      <c r="AA330" s="47" t="str">
        <f t="shared" si="40"/>
        <v/>
      </c>
      <c r="AB330" s="47" t="str">
        <f t="shared" si="41"/>
        <v/>
      </c>
      <c r="AC330" s="47" t="str">
        <f t="shared" si="42"/>
        <v/>
      </c>
      <c r="AD330" s="47" t="str">
        <f t="shared" si="43"/>
        <v/>
      </c>
      <c r="AE330" s="47" t="str">
        <f>IF(L223="","",L223)</f>
        <v/>
      </c>
      <c r="AF330" s="40" t="str">
        <f>IF(Z330&lt;&gt;"",IF(AG159="",""")],","), ac("),"")</f>
        <v/>
      </c>
    </row>
    <row r="331" spans="1:32" s="9" customFormat="1" ht="24.75" hidden="1" x14ac:dyDescent="0.4">
      <c r="A331" s="9" t="str">
        <f t="shared" si="27"/>
        <v>/* 60 */   [ac("", "cp0","")],</v>
      </c>
      <c r="B331" s="9">
        <f t="shared" si="25"/>
        <v>60</v>
      </c>
      <c r="D331" s="39" t="str">
        <f t="shared" si="44"/>
        <v/>
      </c>
      <c r="E331" s="40" t="s">
        <v>52</v>
      </c>
      <c r="F331" s="48" t="str">
        <f>IF(E224="","",E224)</f>
        <v/>
      </c>
      <c r="G331" s="49" t="s">
        <v>53</v>
      </c>
      <c r="H331" s="48" t="str">
        <f t="shared" si="28"/>
        <v/>
      </c>
      <c r="I331" s="49" t="s">
        <v>54</v>
      </c>
      <c r="J331" s="48" t="str">
        <f>IF(F224="","",F224)</f>
        <v/>
      </c>
      <c r="K331" s="40" t="str">
        <f t="shared" si="29"/>
        <v/>
      </c>
      <c r="L331" s="50" t="str">
        <f>IF(G224="","",G224)</f>
        <v/>
      </c>
      <c r="M331" s="51" t="str">
        <f t="shared" si="30"/>
        <v/>
      </c>
      <c r="N331" s="52" t="str">
        <f t="shared" si="31"/>
        <v/>
      </c>
      <c r="O331" s="50" t="str">
        <f t="shared" si="32"/>
        <v/>
      </c>
      <c r="P331" s="53" t="str">
        <f t="shared" si="33"/>
        <v/>
      </c>
      <c r="Q331" s="54" t="str">
        <f>IF(H224="","",H224)</f>
        <v/>
      </c>
      <c r="R331" s="40" t="str">
        <f t="shared" si="34"/>
        <v/>
      </c>
      <c r="S331" s="48" t="str">
        <f>IF(I224="","",I224)</f>
        <v/>
      </c>
      <c r="T331" s="48" t="str">
        <f t="shared" si="35"/>
        <v/>
      </c>
      <c r="U331" s="48" t="str">
        <f t="shared" si="36"/>
        <v/>
      </c>
      <c r="V331" s="48" t="str">
        <f t="shared" si="37"/>
        <v/>
      </c>
      <c r="W331" s="48" t="str">
        <f t="shared" si="38"/>
        <v/>
      </c>
      <c r="X331" s="48" t="str">
        <f>IF(J224="","",J224)</f>
        <v/>
      </c>
      <c r="Y331" s="40" t="str">
        <f t="shared" si="39"/>
        <v/>
      </c>
      <c r="Z331" s="54" t="str">
        <f>IF(K224="","",K224)</f>
        <v/>
      </c>
      <c r="AA331" s="54" t="str">
        <f t="shared" si="40"/>
        <v/>
      </c>
      <c r="AB331" s="54" t="str">
        <f t="shared" si="41"/>
        <v/>
      </c>
      <c r="AC331" s="54" t="str">
        <f t="shared" si="42"/>
        <v/>
      </c>
      <c r="AD331" s="54" t="str">
        <f t="shared" si="43"/>
        <v/>
      </c>
      <c r="AE331" s="54" t="str">
        <f>IF(L224="","",L224)</f>
        <v/>
      </c>
      <c r="AF331" s="40" t="str">
        <f>IF(Z331&lt;&gt;"",IF(AG160="",""")],","), ac("),"")</f>
        <v/>
      </c>
    </row>
    <row r="332" spans="1:32" s="9" customFormat="1" ht="24.75" hidden="1" x14ac:dyDescent="0.4">
      <c r="A332" s="9" t="str">
        <f t="shared" si="27"/>
        <v>/* 61 */   [ac("", "cp0","")],</v>
      </c>
      <c r="B332" s="9">
        <f t="shared" si="25"/>
        <v>61</v>
      </c>
      <c r="D332" s="39" t="str">
        <f t="shared" si="44"/>
        <v/>
      </c>
      <c r="E332" s="40" t="s">
        <v>52</v>
      </c>
      <c r="F332" s="41" t="str">
        <f>IF(E225="","",E225)</f>
        <v/>
      </c>
      <c r="G332" s="55" t="s">
        <v>53</v>
      </c>
      <c r="H332" s="41" t="str">
        <f t="shared" si="28"/>
        <v/>
      </c>
      <c r="I332" s="55" t="s">
        <v>54</v>
      </c>
      <c r="J332" s="41" t="str">
        <f>IF(F225="","",F225)</f>
        <v/>
      </c>
      <c r="K332" s="40" t="str">
        <f t="shared" si="29"/>
        <v/>
      </c>
      <c r="L332" s="43" t="str">
        <f>IF(G225="","",G225)</f>
        <v/>
      </c>
      <c r="M332" s="44" t="str">
        <f t="shared" si="30"/>
        <v/>
      </c>
      <c r="N332" s="45" t="str">
        <f t="shared" si="31"/>
        <v/>
      </c>
      <c r="O332" s="43" t="str">
        <f t="shared" si="32"/>
        <v/>
      </c>
      <c r="P332" s="46" t="str">
        <f t="shared" si="33"/>
        <v/>
      </c>
      <c r="Q332" s="47" t="str">
        <f>IF(H225="","",H225)</f>
        <v/>
      </c>
      <c r="R332" s="40" t="str">
        <f t="shared" si="34"/>
        <v/>
      </c>
      <c r="S332" s="41" t="str">
        <f>IF(I225="","",I225)</f>
        <v/>
      </c>
      <c r="T332" s="41" t="str">
        <f t="shared" si="35"/>
        <v/>
      </c>
      <c r="U332" s="41" t="str">
        <f t="shared" si="36"/>
        <v/>
      </c>
      <c r="V332" s="41" t="str">
        <f t="shared" si="37"/>
        <v/>
      </c>
      <c r="W332" s="41" t="str">
        <f t="shared" si="38"/>
        <v/>
      </c>
      <c r="X332" s="41" t="str">
        <f>IF(J225="","",J225)</f>
        <v/>
      </c>
      <c r="Y332" s="40" t="str">
        <f t="shared" si="39"/>
        <v/>
      </c>
      <c r="Z332" s="47" t="str">
        <f>IF(K225="","",K225)</f>
        <v/>
      </c>
      <c r="AA332" s="47" t="str">
        <f t="shared" si="40"/>
        <v/>
      </c>
      <c r="AB332" s="47" t="str">
        <f t="shared" si="41"/>
        <v/>
      </c>
      <c r="AC332" s="47" t="str">
        <f t="shared" si="42"/>
        <v/>
      </c>
      <c r="AD332" s="47" t="str">
        <f t="shared" si="43"/>
        <v/>
      </c>
      <c r="AE332" s="47" t="str">
        <f>IF(L225="","",L225)</f>
        <v/>
      </c>
      <c r="AF332" s="40" t="str">
        <f>IF(Z332&lt;&gt;"",IF(AG161="",""")],","), ac("),"")</f>
        <v/>
      </c>
    </row>
    <row r="333" spans="1:32" s="9" customFormat="1" ht="24.75" hidden="1" x14ac:dyDescent="0.4">
      <c r="A333" s="9" t="str">
        <f t="shared" si="27"/>
        <v>/* 62 */   [ac("", "cp0","")],</v>
      </c>
      <c r="B333" s="9">
        <f t="shared" si="25"/>
        <v>62</v>
      </c>
      <c r="D333" s="39" t="str">
        <f t="shared" si="44"/>
        <v/>
      </c>
      <c r="E333" s="40" t="s">
        <v>52</v>
      </c>
      <c r="F333" s="48" t="str">
        <f>IF(E226="","",E226)</f>
        <v/>
      </c>
      <c r="G333" s="49" t="s">
        <v>53</v>
      </c>
      <c r="H333" s="48" t="str">
        <f t="shared" si="28"/>
        <v/>
      </c>
      <c r="I333" s="49" t="s">
        <v>54</v>
      </c>
      <c r="J333" s="48" t="str">
        <f>IF(F226="","",F226)</f>
        <v/>
      </c>
      <c r="K333" s="40" t="str">
        <f t="shared" si="29"/>
        <v/>
      </c>
      <c r="L333" s="50" t="str">
        <f>IF(G226="","",G226)</f>
        <v/>
      </c>
      <c r="M333" s="51" t="str">
        <f t="shared" si="30"/>
        <v/>
      </c>
      <c r="N333" s="52" t="str">
        <f t="shared" si="31"/>
        <v/>
      </c>
      <c r="O333" s="50" t="str">
        <f t="shared" si="32"/>
        <v/>
      </c>
      <c r="P333" s="53" t="str">
        <f t="shared" si="33"/>
        <v/>
      </c>
      <c r="Q333" s="54" t="str">
        <f>IF(H226="","",H226)</f>
        <v/>
      </c>
      <c r="R333" s="40" t="str">
        <f t="shared" si="34"/>
        <v/>
      </c>
      <c r="S333" s="48" t="str">
        <f>IF(I226="","",I226)</f>
        <v/>
      </c>
      <c r="T333" s="48" t="str">
        <f t="shared" si="35"/>
        <v/>
      </c>
      <c r="U333" s="48" t="str">
        <f t="shared" si="36"/>
        <v/>
      </c>
      <c r="V333" s="48" t="str">
        <f t="shared" si="37"/>
        <v/>
      </c>
      <c r="W333" s="48" t="str">
        <f t="shared" si="38"/>
        <v/>
      </c>
      <c r="X333" s="48" t="str">
        <f>IF(J226="","",J226)</f>
        <v/>
      </c>
      <c r="Y333" s="40" t="str">
        <f t="shared" si="39"/>
        <v/>
      </c>
      <c r="Z333" s="54" t="str">
        <f>IF(K226="","",K226)</f>
        <v/>
      </c>
      <c r="AA333" s="54" t="str">
        <f t="shared" si="40"/>
        <v/>
      </c>
      <c r="AB333" s="54" t="str">
        <f t="shared" si="41"/>
        <v/>
      </c>
      <c r="AC333" s="54" t="str">
        <f t="shared" si="42"/>
        <v/>
      </c>
      <c r="AD333" s="54" t="str">
        <f t="shared" si="43"/>
        <v/>
      </c>
      <c r="AE333" s="54" t="str">
        <f>IF(L226="","",L226)</f>
        <v/>
      </c>
      <c r="AF333" s="40" t="str">
        <f>IF(Z333&lt;&gt;"",IF(AG162="",""")],","), ac("),"")</f>
        <v/>
      </c>
    </row>
    <row r="334" spans="1:32" s="9" customFormat="1" ht="24.75" hidden="1" x14ac:dyDescent="0.4">
      <c r="A334" s="9" t="str">
        <f t="shared" si="27"/>
        <v>/* 63 */   [ac("", "cp0","")],</v>
      </c>
      <c r="B334" s="9">
        <f t="shared" si="25"/>
        <v>63</v>
      </c>
      <c r="D334" s="39" t="str">
        <f t="shared" si="44"/>
        <v/>
      </c>
      <c r="E334" s="40" t="s">
        <v>52</v>
      </c>
      <c r="F334" s="41" t="str">
        <f>IF(E227="","",E227)</f>
        <v/>
      </c>
      <c r="G334" s="55" t="s">
        <v>53</v>
      </c>
      <c r="H334" s="41" t="str">
        <f t="shared" si="28"/>
        <v/>
      </c>
      <c r="I334" s="55" t="s">
        <v>54</v>
      </c>
      <c r="J334" s="41" t="str">
        <f>IF(F227="","",F227)</f>
        <v/>
      </c>
      <c r="K334" s="40" t="str">
        <f t="shared" si="29"/>
        <v/>
      </c>
      <c r="L334" s="43" t="str">
        <f>IF(G227="","",G227)</f>
        <v/>
      </c>
      <c r="M334" s="44" t="str">
        <f t="shared" si="30"/>
        <v/>
      </c>
      <c r="N334" s="45" t="str">
        <f t="shared" si="31"/>
        <v/>
      </c>
      <c r="O334" s="43" t="str">
        <f t="shared" si="32"/>
        <v/>
      </c>
      <c r="P334" s="46" t="str">
        <f t="shared" si="33"/>
        <v/>
      </c>
      <c r="Q334" s="47" t="str">
        <f>IF(H227="","",H227)</f>
        <v/>
      </c>
      <c r="R334" s="40" t="str">
        <f t="shared" si="34"/>
        <v/>
      </c>
      <c r="S334" s="41" t="str">
        <f>IF(I227="","",I227)</f>
        <v/>
      </c>
      <c r="T334" s="41" t="str">
        <f t="shared" si="35"/>
        <v/>
      </c>
      <c r="U334" s="41" t="str">
        <f t="shared" si="36"/>
        <v/>
      </c>
      <c r="V334" s="41" t="str">
        <f t="shared" si="37"/>
        <v/>
      </c>
      <c r="W334" s="41" t="str">
        <f t="shared" si="38"/>
        <v/>
      </c>
      <c r="X334" s="41" t="str">
        <f>IF(J227="","",J227)</f>
        <v/>
      </c>
      <c r="Y334" s="40" t="str">
        <f t="shared" si="39"/>
        <v/>
      </c>
      <c r="Z334" s="47" t="str">
        <f>IF(K227="","",K227)</f>
        <v/>
      </c>
      <c r="AA334" s="47" t="str">
        <f t="shared" si="40"/>
        <v/>
      </c>
      <c r="AB334" s="47" t="str">
        <f t="shared" si="41"/>
        <v/>
      </c>
      <c r="AC334" s="47" t="str">
        <f t="shared" si="42"/>
        <v/>
      </c>
      <c r="AD334" s="47" t="str">
        <f t="shared" si="43"/>
        <v/>
      </c>
      <c r="AE334" s="47" t="str">
        <f>IF(L227="","",L227)</f>
        <v/>
      </c>
      <c r="AF334" s="40" t="str">
        <f>IF(Z334&lt;&gt;"",IF(AG163="",""")],","), ac("),"")</f>
        <v/>
      </c>
    </row>
    <row r="335" spans="1:32" s="9" customFormat="1" ht="24.75" hidden="1" x14ac:dyDescent="0.4">
      <c r="A335" s="9" t="str">
        <f t="shared" si="27"/>
        <v>/* 64 */   [ac("", "cp0","")],</v>
      </c>
      <c r="B335" s="9">
        <f t="shared" si="25"/>
        <v>64</v>
      </c>
      <c r="D335" s="39" t="str">
        <f t="shared" si="44"/>
        <v/>
      </c>
      <c r="E335" s="40" t="s">
        <v>52</v>
      </c>
      <c r="F335" s="48" t="str">
        <f>IF(E228="","",E228)</f>
        <v/>
      </c>
      <c r="G335" s="49" t="s">
        <v>53</v>
      </c>
      <c r="H335" s="48" t="str">
        <f t="shared" si="28"/>
        <v/>
      </c>
      <c r="I335" s="49" t="s">
        <v>54</v>
      </c>
      <c r="J335" s="48" t="str">
        <f>IF(F228="","",F228)</f>
        <v/>
      </c>
      <c r="K335" s="40" t="str">
        <f t="shared" si="29"/>
        <v/>
      </c>
      <c r="L335" s="50" t="str">
        <f>IF(G228="","",G228)</f>
        <v/>
      </c>
      <c r="M335" s="51" t="str">
        <f t="shared" si="30"/>
        <v/>
      </c>
      <c r="N335" s="52" t="str">
        <f t="shared" si="31"/>
        <v/>
      </c>
      <c r="O335" s="50" t="str">
        <f t="shared" si="32"/>
        <v/>
      </c>
      <c r="P335" s="53" t="str">
        <f t="shared" si="33"/>
        <v/>
      </c>
      <c r="Q335" s="54" t="str">
        <f>IF(H228="","",H228)</f>
        <v/>
      </c>
      <c r="R335" s="40" t="str">
        <f t="shared" si="34"/>
        <v/>
      </c>
      <c r="S335" s="48" t="str">
        <f>IF(I228="","",I228)</f>
        <v/>
      </c>
      <c r="T335" s="48" t="str">
        <f t="shared" si="35"/>
        <v/>
      </c>
      <c r="U335" s="48" t="str">
        <f t="shared" si="36"/>
        <v/>
      </c>
      <c r="V335" s="48" t="str">
        <f t="shared" si="37"/>
        <v/>
      </c>
      <c r="W335" s="48" t="str">
        <f t="shared" si="38"/>
        <v/>
      </c>
      <c r="X335" s="48" t="str">
        <f>IF(J228="","",J228)</f>
        <v/>
      </c>
      <c r="Y335" s="40" t="str">
        <f t="shared" si="39"/>
        <v/>
      </c>
      <c r="Z335" s="54" t="str">
        <f>IF(K228="","",K228)</f>
        <v/>
      </c>
      <c r="AA335" s="54" t="str">
        <f t="shared" si="40"/>
        <v/>
      </c>
      <c r="AB335" s="54" t="str">
        <f t="shared" si="41"/>
        <v/>
      </c>
      <c r="AC335" s="54" t="str">
        <f t="shared" si="42"/>
        <v/>
      </c>
      <c r="AD335" s="54" t="str">
        <f t="shared" si="43"/>
        <v/>
      </c>
      <c r="AE335" s="54" t="str">
        <f>IF(L228="","",L228)</f>
        <v/>
      </c>
      <c r="AF335" s="40" t="str">
        <f>IF(Z335&lt;&gt;"",IF(AG164="",""")],","), ac("),"")</f>
        <v/>
      </c>
    </row>
    <row r="336" spans="1:32" s="9" customFormat="1" ht="24.75" hidden="1" x14ac:dyDescent="0.4">
      <c r="A336" s="9" t="str">
        <f t="shared" si="27"/>
        <v>/* 65 */   [ac("", "cp0","")],</v>
      </c>
      <c r="B336" s="9">
        <f t="shared" si="25"/>
        <v>65</v>
      </c>
      <c r="D336" s="39" t="str">
        <f t="shared" si="44"/>
        <v/>
      </c>
      <c r="E336" s="40" t="s">
        <v>52</v>
      </c>
      <c r="F336" s="41" t="str">
        <f>IF(E229="","",E229)</f>
        <v/>
      </c>
      <c r="G336" s="55" t="s">
        <v>53</v>
      </c>
      <c r="H336" s="41" t="str">
        <f t="shared" si="28"/>
        <v/>
      </c>
      <c r="I336" s="55" t="s">
        <v>54</v>
      </c>
      <c r="J336" s="41" t="str">
        <f>IF(F229="","",F229)</f>
        <v/>
      </c>
      <c r="K336" s="40" t="str">
        <f t="shared" si="29"/>
        <v/>
      </c>
      <c r="L336" s="43" t="str">
        <f>IF(G229="","",G229)</f>
        <v/>
      </c>
      <c r="M336" s="44" t="str">
        <f t="shared" si="30"/>
        <v/>
      </c>
      <c r="N336" s="45" t="str">
        <f t="shared" si="31"/>
        <v/>
      </c>
      <c r="O336" s="43" t="str">
        <f t="shared" si="32"/>
        <v/>
      </c>
      <c r="P336" s="46" t="str">
        <f t="shared" si="33"/>
        <v/>
      </c>
      <c r="Q336" s="47" t="str">
        <f>IF(H229="","",H229)</f>
        <v/>
      </c>
      <c r="R336" s="40" t="str">
        <f t="shared" si="34"/>
        <v/>
      </c>
      <c r="S336" s="41" t="str">
        <f>IF(I229="","",I229)</f>
        <v/>
      </c>
      <c r="T336" s="41" t="str">
        <f t="shared" si="35"/>
        <v/>
      </c>
      <c r="U336" s="41" t="str">
        <f t="shared" si="36"/>
        <v/>
      </c>
      <c r="V336" s="41" t="str">
        <f t="shared" si="37"/>
        <v/>
      </c>
      <c r="W336" s="41" t="str">
        <f t="shared" si="38"/>
        <v/>
      </c>
      <c r="X336" s="41" t="str">
        <f>IF(J229="","",J229)</f>
        <v/>
      </c>
      <c r="Y336" s="40" t="str">
        <f t="shared" si="39"/>
        <v/>
      </c>
      <c r="Z336" s="47" t="str">
        <f>IF(K229="","",K229)</f>
        <v/>
      </c>
      <c r="AA336" s="47" t="str">
        <f t="shared" si="40"/>
        <v/>
      </c>
      <c r="AB336" s="47" t="str">
        <f t="shared" si="41"/>
        <v/>
      </c>
      <c r="AC336" s="47" t="str">
        <f t="shared" si="42"/>
        <v/>
      </c>
      <c r="AD336" s="47" t="str">
        <f t="shared" si="43"/>
        <v/>
      </c>
      <c r="AE336" s="47" t="str">
        <f>IF(L229="","",L229)</f>
        <v/>
      </c>
      <c r="AF336" s="40" t="str">
        <f>IF(Z336&lt;&gt;"",IF(AG165="",""")],","), ac("),"")</f>
        <v/>
      </c>
    </row>
    <row r="337" spans="1:32" s="9" customFormat="1" ht="24.75" hidden="1" x14ac:dyDescent="0.4">
      <c r="A337" s="9" t="str">
        <f t="shared" si="27"/>
        <v>/* 66 */   [ac("", "cp0","")],</v>
      </c>
      <c r="B337" s="9">
        <f t="shared" si="25"/>
        <v>66</v>
      </c>
      <c r="D337" s="39" t="str">
        <f t="shared" si="44"/>
        <v/>
      </c>
      <c r="E337" s="40" t="s">
        <v>52</v>
      </c>
      <c r="F337" s="48" t="str">
        <f>IF(E230="","",E230)</f>
        <v/>
      </c>
      <c r="G337" s="49" t="s">
        <v>53</v>
      </c>
      <c r="H337" s="48" t="str">
        <f t="shared" si="28"/>
        <v/>
      </c>
      <c r="I337" s="49" t="s">
        <v>54</v>
      </c>
      <c r="J337" s="48" t="str">
        <f>IF(F230="","",F230)</f>
        <v/>
      </c>
      <c r="K337" s="40" t="str">
        <f t="shared" si="29"/>
        <v/>
      </c>
      <c r="L337" s="50" t="str">
        <f>IF(G230="","",G230)</f>
        <v/>
      </c>
      <c r="M337" s="51" t="str">
        <f t="shared" si="30"/>
        <v/>
      </c>
      <c r="N337" s="52" t="str">
        <f t="shared" si="31"/>
        <v/>
      </c>
      <c r="O337" s="50" t="str">
        <f t="shared" si="32"/>
        <v/>
      </c>
      <c r="P337" s="53" t="str">
        <f t="shared" si="33"/>
        <v/>
      </c>
      <c r="Q337" s="54" t="str">
        <f>IF(H230="","",H230)</f>
        <v/>
      </c>
      <c r="R337" s="40" t="str">
        <f t="shared" si="34"/>
        <v/>
      </c>
      <c r="S337" s="48" t="str">
        <f>IF(I230="","",I230)</f>
        <v/>
      </c>
      <c r="T337" s="48" t="str">
        <f t="shared" si="35"/>
        <v/>
      </c>
      <c r="U337" s="48" t="str">
        <f t="shared" si="36"/>
        <v/>
      </c>
      <c r="V337" s="48" t="str">
        <f t="shared" si="37"/>
        <v/>
      </c>
      <c r="W337" s="48" t="str">
        <f t="shared" si="38"/>
        <v/>
      </c>
      <c r="X337" s="48" t="str">
        <f>IF(J230="","",J230)</f>
        <v/>
      </c>
      <c r="Y337" s="40" t="str">
        <f t="shared" si="39"/>
        <v/>
      </c>
      <c r="Z337" s="54" t="str">
        <f>IF(K230="","",K230)</f>
        <v/>
      </c>
      <c r="AA337" s="54" t="str">
        <f t="shared" si="40"/>
        <v/>
      </c>
      <c r="AB337" s="54" t="str">
        <f t="shared" si="41"/>
        <v/>
      </c>
      <c r="AC337" s="54" t="str">
        <f t="shared" si="42"/>
        <v/>
      </c>
      <c r="AD337" s="54" t="str">
        <f t="shared" si="43"/>
        <v/>
      </c>
      <c r="AE337" s="54" t="str">
        <f>IF(L230="","",L230)</f>
        <v/>
      </c>
      <c r="AF337" s="40" t="str">
        <f>IF(Z337&lt;&gt;"",IF(AG166="",""")],","), ac("),"")</f>
        <v/>
      </c>
    </row>
    <row r="338" spans="1:32" s="9" customFormat="1" ht="24.75" hidden="1" x14ac:dyDescent="0.4">
      <c r="A338" s="9" t="str">
        <f t="shared" si="27"/>
        <v>/* 67 */   [ac("", "cp0","")],</v>
      </c>
      <c r="B338" s="9">
        <f t="shared" ref="B338:B372" si="45">+B337+1</f>
        <v>67</v>
      </c>
      <c r="D338" s="39" t="str">
        <f t="shared" si="44"/>
        <v/>
      </c>
      <c r="E338" s="40" t="s">
        <v>52</v>
      </c>
      <c r="F338" s="41" t="str">
        <f>IF(E231="","",E231)</f>
        <v/>
      </c>
      <c r="G338" s="55" t="s">
        <v>53</v>
      </c>
      <c r="H338" s="41" t="str">
        <f t="shared" si="28"/>
        <v/>
      </c>
      <c r="I338" s="55" t="s">
        <v>54</v>
      </c>
      <c r="J338" s="41" t="str">
        <f>IF(F231="","",F231)</f>
        <v/>
      </c>
      <c r="K338" s="40" t="str">
        <f t="shared" si="29"/>
        <v/>
      </c>
      <c r="L338" s="43" t="str">
        <f>IF(G231="","",G231)</f>
        <v/>
      </c>
      <c r="M338" s="44" t="str">
        <f t="shared" si="30"/>
        <v/>
      </c>
      <c r="N338" s="45" t="str">
        <f t="shared" si="31"/>
        <v/>
      </c>
      <c r="O338" s="43" t="str">
        <f t="shared" si="32"/>
        <v/>
      </c>
      <c r="P338" s="46" t="str">
        <f t="shared" si="33"/>
        <v/>
      </c>
      <c r="Q338" s="47" t="str">
        <f>IF(H231="","",H231)</f>
        <v/>
      </c>
      <c r="R338" s="40" t="str">
        <f t="shared" si="34"/>
        <v/>
      </c>
      <c r="S338" s="41" t="str">
        <f>IF(I231="","",I231)</f>
        <v/>
      </c>
      <c r="T338" s="41" t="str">
        <f t="shared" si="35"/>
        <v/>
      </c>
      <c r="U338" s="41" t="str">
        <f t="shared" si="36"/>
        <v/>
      </c>
      <c r="V338" s="41" t="str">
        <f t="shared" si="37"/>
        <v/>
      </c>
      <c r="W338" s="41" t="str">
        <f t="shared" si="38"/>
        <v/>
      </c>
      <c r="X338" s="41" t="str">
        <f>IF(J231="","",J231)</f>
        <v/>
      </c>
      <c r="Y338" s="40" t="str">
        <f t="shared" si="39"/>
        <v/>
      </c>
      <c r="Z338" s="47" t="str">
        <f>IF(K231="","",K231)</f>
        <v/>
      </c>
      <c r="AA338" s="47" t="str">
        <f t="shared" si="40"/>
        <v/>
      </c>
      <c r="AB338" s="47" t="str">
        <f t="shared" si="41"/>
        <v/>
      </c>
      <c r="AC338" s="47" t="str">
        <f t="shared" si="42"/>
        <v/>
      </c>
      <c r="AD338" s="47" t="str">
        <f t="shared" si="43"/>
        <v/>
      </c>
      <c r="AE338" s="47" t="str">
        <f>IF(L231="","",L231)</f>
        <v/>
      </c>
      <c r="AF338" s="40" t="str">
        <f>IF(Z338&lt;&gt;"",IF(AG167="",""")],","), ac("),"")</f>
        <v/>
      </c>
    </row>
    <row r="339" spans="1:32" s="9" customFormat="1" ht="24.75" hidden="1" x14ac:dyDescent="0.4">
      <c r="A339" s="9" t="str">
        <f t="shared" si="27"/>
        <v>/* 68 */   [ac("", "cp0","")],</v>
      </c>
      <c r="B339" s="9">
        <f t="shared" si="45"/>
        <v>68</v>
      </c>
      <c r="D339" s="39" t="str">
        <f t="shared" si="44"/>
        <v/>
      </c>
      <c r="E339" s="40" t="s">
        <v>52</v>
      </c>
      <c r="F339" s="48" t="str">
        <f>IF(E232="","",E232)</f>
        <v/>
      </c>
      <c r="G339" s="49" t="s">
        <v>53</v>
      </c>
      <c r="H339" s="48" t="str">
        <f t="shared" si="28"/>
        <v/>
      </c>
      <c r="I339" s="49" t="s">
        <v>54</v>
      </c>
      <c r="J339" s="48" t="str">
        <f>IF(F232="","",F232)</f>
        <v/>
      </c>
      <c r="K339" s="40" t="str">
        <f t="shared" si="29"/>
        <v/>
      </c>
      <c r="L339" s="50" t="str">
        <f>IF(G232="","",G232)</f>
        <v/>
      </c>
      <c r="M339" s="51" t="str">
        <f t="shared" si="30"/>
        <v/>
      </c>
      <c r="N339" s="52" t="str">
        <f t="shared" si="31"/>
        <v/>
      </c>
      <c r="O339" s="50" t="str">
        <f t="shared" si="32"/>
        <v/>
      </c>
      <c r="P339" s="53" t="str">
        <f t="shared" si="33"/>
        <v/>
      </c>
      <c r="Q339" s="54" t="str">
        <f>IF(H232="","",H232)</f>
        <v/>
      </c>
      <c r="R339" s="40" t="str">
        <f t="shared" si="34"/>
        <v/>
      </c>
      <c r="S339" s="48" t="str">
        <f>IF(I232="","",I232)</f>
        <v/>
      </c>
      <c r="T339" s="48" t="str">
        <f t="shared" si="35"/>
        <v/>
      </c>
      <c r="U339" s="48" t="str">
        <f t="shared" si="36"/>
        <v/>
      </c>
      <c r="V339" s="48" t="str">
        <f t="shared" si="37"/>
        <v/>
      </c>
      <c r="W339" s="48" t="str">
        <f t="shared" si="38"/>
        <v/>
      </c>
      <c r="X339" s="48" t="str">
        <f>IF(J232="","",J232)</f>
        <v/>
      </c>
      <c r="Y339" s="40" t="str">
        <f t="shared" si="39"/>
        <v/>
      </c>
      <c r="Z339" s="54" t="str">
        <f>IF(K232="","",K232)</f>
        <v/>
      </c>
      <c r="AA339" s="54" t="str">
        <f t="shared" si="40"/>
        <v/>
      </c>
      <c r="AB339" s="54" t="str">
        <f t="shared" si="41"/>
        <v/>
      </c>
      <c r="AC339" s="54" t="str">
        <f t="shared" si="42"/>
        <v/>
      </c>
      <c r="AD339" s="54" t="str">
        <f t="shared" si="43"/>
        <v/>
      </c>
      <c r="AE339" s="54" t="str">
        <f>IF(L232="","",L232)</f>
        <v/>
      </c>
      <c r="AF339" s="40" t="str">
        <f>IF(Z339&lt;&gt;"",IF(AG168="",""")],","), ac("),"")</f>
        <v/>
      </c>
    </row>
    <row r="340" spans="1:32" s="9" customFormat="1" ht="24.75" hidden="1" x14ac:dyDescent="0.4">
      <c r="A340" s="9" t="str">
        <f t="shared" ref="A340:A372" si="46">_xlfn.CONCAT("/* ",B340, " */   ","[ac(""",""", ""","","cp0","""",","""")],")</f>
        <v>/* 69 */   [ac("", "cp0","")],</v>
      </c>
      <c r="B340" s="9">
        <f t="shared" si="45"/>
        <v>69</v>
      </c>
      <c r="D340" s="39" t="str">
        <f t="shared" si="44"/>
        <v/>
      </c>
      <c r="E340" s="40" t="s">
        <v>52</v>
      </c>
      <c r="F340" s="41" t="str">
        <f>IF(E233="","",E233)</f>
        <v/>
      </c>
      <c r="G340" s="55" t="s">
        <v>53</v>
      </c>
      <c r="H340" s="41" t="str">
        <f t="shared" si="28"/>
        <v/>
      </c>
      <c r="I340" s="55" t="s">
        <v>54</v>
      </c>
      <c r="J340" s="41" t="str">
        <f>IF(F233="","",F233)</f>
        <v/>
      </c>
      <c r="K340" s="40" t="str">
        <f t="shared" si="29"/>
        <v/>
      </c>
      <c r="L340" s="43" t="str">
        <f>IF(G233="","",G233)</f>
        <v/>
      </c>
      <c r="M340" s="44" t="str">
        <f t="shared" si="30"/>
        <v/>
      </c>
      <c r="N340" s="45" t="str">
        <f t="shared" si="31"/>
        <v/>
      </c>
      <c r="O340" s="43" t="str">
        <f t="shared" si="32"/>
        <v/>
      </c>
      <c r="P340" s="46" t="str">
        <f t="shared" si="33"/>
        <v/>
      </c>
      <c r="Q340" s="47" t="str">
        <f>IF(H233="","",H233)</f>
        <v/>
      </c>
      <c r="R340" s="40" t="str">
        <f t="shared" si="34"/>
        <v/>
      </c>
      <c r="S340" s="41" t="str">
        <f>IF(I233="","",I233)</f>
        <v/>
      </c>
      <c r="T340" s="41" t="str">
        <f t="shared" si="35"/>
        <v/>
      </c>
      <c r="U340" s="41" t="str">
        <f t="shared" si="36"/>
        <v/>
      </c>
      <c r="V340" s="41" t="str">
        <f t="shared" si="37"/>
        <v/>
      </c>
      <c r="W340" s="41" t="str">
        <f t="shared" si="38"/>
        <v/>
      </c>
      <c r="X340" s="41" t="str">
        <f>IF(J233="","",J233)</f>
        <v/>
      </c>
      <c r="Y340" s="40" t="str">
        <f t="shared" si="39"/>
        <v/>
      </c>
      <c r="Z340" s="47" t="str">
        <f>IF(K233="","",K233)</f>
        <v/>
      </c>
      <c r="AA340" s="47" t="str">
        <f t="shared" si="40"/>
        <v/>
      </c>
      <c r="AB340" s="47" t="str">
        <f t="shared" si="41"/>
        <v/>
      </c>
      <c r="AC340" s="47" t="str">
        <f t="shared" si="42"/>
        <v/>
      </c>
      <c r="AD340" s="47" t="str">
        <f t="shared" si="43"/>
        <v/>
      </c>
      <c r="AE340" s="47" t="str">
        <f>IF(L233="","",L233)</f>
        <v/>
      </c>
      <c r="AF340" s="40" t="str">
        <f>IF(Z340&lt;&gt;"",IF(AG169="",""")],","), ac("),"")</f>
        <v/>
      </c>
    </row>
    <row r="341" spans="1:32" s="9" customFormat="1" ht="24.75" hidden="1" x14ac:dyDescent="0.4">
      <c r="A341" s="9" t="str">
        <f t="shared" si="46"/>
        <v>/* 70 */   [ac("", "cp0","")],</v>
      </c>
      <c r="B341" s="9">
        <f t="shared" si="45"/>
        <v>70</v>
      </c>
      <c r="D341" s="39" t="str">
        <f t="shared" si="44"/>
        <v/>
      </c>
      <c r="E341" s="40" t="s">
        <v>52</v>
      </c>
      <c r="F341" s="48" t="str">
        <f>IF(E234="","",E234)</f>
        <v/>
      </c>
      <c r="G341" s="49" t="s">
        <v>53</v>
      </c>
      <c r="H341" s="48" t="str">
        <f t="shared" si="28"/>
        <v/>
      </c>
      <c r="I341" s="49" t="s">
        <v>54</v>
      </c>
      <c r="J341" s="48" t="str">
        <f>IF(F234="","",F234)</f>
        <v/>
      </c>
      <c r="K341" s="40" t="str">
        <f t="shared" si="29"/>
        <v/>
      </c>
      <c r="L341" s="50" t="str">
        <f>IF(G234="","",G234)</f>
        <v/>
      </c>
      <c r="M341" s="51" t="str">
        <f t="shared" si="30"/>
        <v/>
      </c>
      <c r="N341" s="52" t="str">
        <f t="shared" si="31"/>
        <v/>
      </c>
      <c r="O341" s="50" t="str">
        <f t="shared" si="32"/>
        <v/>
      </c>
      <c r="P341" s="53" t="str">
        <f t="shared" si="33"/>
        <v/>
      </c>
      <c r="Q341" s="54" t="str">
        <f>IF(H234="","",H234)</f>
        <v/>
      </c>
      <c r="R341" s="40" t="str">
        <f t="shared" si="34"/>
        <v/>
      </c>
      <c r="S341" s="48" t="str">
        <f>IF(I234="","",I234)</f>
        <v/>
      </c>
      <c r="T341" s="48" t="str">
        <f t="shared" si="35"/>
        <v/>
      </c>
      <c r="U341" s="48" t="str">
        <f t="shared" si="36"/>
        <v/>
      </c>
      <c r="V341" s="48" t="str">
        <f t="shared" si="37"/>
        <v/>
      </c>
      <c r="W341" s="48" t="str">
        <f t="shared" si="38"/>
        <v/>
      </c>
      <c r="X341" s="48" t="str">
        <f>IF(J234="","",J234)</f>
        <v/>
      </c>
      <c r="Y341" s="40" t="str">
        <f t="shared" si="39"/>
        <v/>
      </c>
      <c r="Z341" s="54" t="str">
        <f>IF(K234="","",K234)</f>
        <v/>
      </c>
      <c r="AA341" s="54" t="str">
        <f t="shared" si="40"/>
        <v/>
      </c>
      <c r="AB341" s="54" t="str">
        <f t="shared" si="41"/>
        <v/>
      </c>
      <c r="AC341" s="54" t="str">
        <f t="shared" si="42"/>
        <v/>
      </c>
      <c r="AD341" s="54" t="str">
        <f t="shared" si="43"/>
        <v/>
      </c>
      <c r="AE341" s="54" t="str">
        <f>IF(L234="","",L234)</f>
        <v/>
      </c>
      <c r="AF341" s="40" t="str">
        <f>IF(Z341&lt;&gt;"",IF(AG170="",""")],","), ac("),"")</f>
        <v/>
      </c>
    </row>
    <row r="342" spans="1:32" s="9" customFormat="1" ht="24.75" hidden="1" x14ac:dyDescent="0.4">
      <c r="A342" s="9" t="str">
        <f t="shared" si="46"/>
        <v>/* 71 */   [ac("", "cp0","")],</v>
      </c>
      <c r="B342" s="9">
        <f t="shared" si="45"/>
        <v>71</v>
      </c>
      <c r="D342" s="39" t="str">
        <f t="shared" si="44"/>
        <v/>
      </c>
      <c r="E342" s="40" t="s">
        <v>52</v>
      </c>
      <c r="F342" s="41" t="str">
        <f>IF(E235="","",E235)</f>
        <v/>
      </c>
      <c r="G342" s="55" t="s">
        <v>53</v>
      </c>
      <c r="H342" s="41" t="str">
        <f t="shared" si="28"/>
        <v/>
      </c>
      <c r="I342" s="55" t="s">
        <v>54</v>
      </c>
      <c r="J342" s="41" t="str">
        <f>IF(F235="","",F235)</f>
        <v/>
      </c>
      <c r="K342" s="40" t="str">
        <f t="shared" si="29"/>
        <v/>
      </c>
      <c r="L342" s="43" t="str">
        <f>IF(G235="","",G235)</f>
        <v/>
      </c>
      <c r="M342" s="44" t="str">
        <f t="shared" si="30"/>
        <v/>
      </c>
      <c r="N342" s="45" t="str">
        <f t="shared" si="31"/>
        <v/>
      </c>
      <c r="O342" s="43" t="str">
        <f t="shared" si="32"/>
        <v/>
      </c>
      <c r="P342" s="46" t="str">
        <f t="shared" si="33"/>
        <v/>
      </c>
      <c r="Q342" s="47" t="str">
        <f>IF(H235="","",H235)</f>
        <v/>
      </c>
      <c r="R342" s="40" t="str">
        <f t="shared" si="34"/>
        <v/>
      </c>
      <c r="S342" s="41" t="str">
        <f>IF(I235="","",I235)</f>
        <v/>
      </c>
      <c r="T342" s="41" t="str">
        <f t="shared" si="35"/>
        <v/>
      </c>
      <c r="U342" s="41" t="str">
        <f t="shared" si="36"/>
        <v/>
      </c>
      <c r="V342" s="41" t="str">
        <f t="shared" si="37"/>
        <v/>
      </c>
      <c r="W342" s="41" t="str">
        <f t="shared" si="38"/>
        <v/>
      </c>
      <c r="X342" s="41" t="str">
        <f>IF(J235="","",J235)</f>
        <v/>
      </c>
      <c r="Y342" s="40" t="str">
        <f t="shared" si="39"/>
        <v/>
      </c>
      <c r="Z342" s="47" t="str">
        <f>IF(K235="","",K235)</f>
        <v/>
      </c>
      <c r="AA342" s="47" t="str">
        <f t="shared" si="40"/>
        <v/>
      </c>
      <c r="AB342" s="47" t="str">
        <f t="shared" si="41"/>
        <v/>
      </c>
      <c r="AC342" s="47" t="str">
        <f t="shared" si="42"/>
        <v/>
      </c>
      <c r="AD342" s="47" t="str">
        <f t="shared" si="43"/>
        <v/>
      </c>
      <c r="AE342" s="47" t="str">
        <f>IF(L235="","",L235)</f>
        <v/>
      </c>
      <c r="AF342" s="40" t="str">
        <f>IF(Z342&lt;&gt;"",IF(AG171="",""")],","), ac("),"")</f>
        <v/>
      </c>
    </row>
    <row r="343" spans="1:32" s="9" customFormat="1" ht="24.75" hidden="1" x14ac:dyDescent="0.4">
      <c r="A343" s="9" t="str">
        <f t="shared" si="46"/>
        <v>/* 72 */   [ac("", "cp0","")],</v>
      </c>
      <c r="B343" s="9">
        <f t="shared" si="45"/>
        <v>72</v>
      </c>
      <c r="D343" s="39" t="str">
        <f t="shared" si="44"/>
        <v/>
      </c>
      <c r="E343" s="40" t="s">
        <v>52</v>
      </c>
      <c r="F343" s="48" t="str">
        <f>IF(E236="","",E236)</f>
        <v/>
      </c>
      <c r="G343" s="49" t="s">
        <v>53</v>
      </c>
      <c r="H343" s="48" t="str">
        <f t="shared" si="28"/>
        <v/>
      </c>
      <c r="I343" s="49" t="s">
        <v>54</v>
      </c>
      <c r="J343" s="48" t="str">
        <f>IF(F236="","",F236)</f>
        <v/>
      </c>
      <c r="K343" s="40" t="str">
        <f t="shared" si="29"/>
        <v/>
      </c>
      <c r="L343" s="50" t="str">
        <f>IF(G236="","",G236)</f>
        <v/>
      </c>
      <c r="M343" s="51" t="str">
        <f t="shared" si="30"/>
        <v/>
      </c>
      <c r="N343" s="52" t="str">
        <f t="shared" si="31"/>
        <v/>
      </c>
      <c r="O343" s="50" t="str">
        <f t="shared" si="32"/>
        <v/>
      </c>
      <c r="P343" s="53" t="str">
        <f t="shared" si="33"/>
        <v/>
      </c>
      <c r="Q343" s="54" t="str">
        <f>IF(H236="","",H236)</f>
        <v/>
      </c>
      <c r="R343" s="40" t="str">
        <f t="shared" si="34"/>
        <v/>
      </c>
      <c r="S343" s="48" t="str">
        <f>IF(I236="","",I236)</f>
        <v/>
      </c>
      <c r="T343" s="48" t="str">
        <f t="shared" si="35"/>
        <v/>
      </c>
      <c r="U343" s="48" t="str">
        <f t="shared" si="36"/>
        <v/>
      </c>
      <c r="V343" s="48" t="str">
        <f t="shared" si="37"/>
        <v/>
      </c>
      <c r="W343" s="48" t="str">
        <f t="shared" si="38"/>
        <v/>
      </c>
      <c r="X343" s="48" t="str">
        <f>IF(J236="","",J236)</f>
        <v/>
      </c>
      <c r="Y343" s="40" t="str">
        <f t="shared" si="39"/>
        <v/>
      </c>
      <c r="Z343" s="54" t="str">
        <f>IF(K236="","",K236)</f>
        <v/>
      </c>
      <c r="AA343" s="54" t="str">
        <f t="shared" si="40"/>
        <v/>
      </c>
      <c r="AB343" s="54" t="str">
        <f t="shared" si="41"/>
        <v/>
      </c>
      <c r="AC343" s="54" t="str">
        <f t="shared" si="42"/>
        <v/>
      </c>
      <c r="AD343" s="54" t="str">
        <f t="shared" si="43"/>
        <v/>
      </c>
      <c r="AE343" s="54" t="str">
        <f>IF(L236="","",L236)</f>
        <v/>
      </c>
      <c r="AF343" s="40" t="str">
        <f>IF(Z343&lt;&gt;"",IF(AG172="",""")],","), ac("),"")</f>
        <v/>
      </c>
    </row>
    <row r="344" spans="1:32" s="9" customFormat="1" ht="24.75" hidden="1" x14ac:dyDescent="0.4">
      <c r="A344" s="9" t="str">
        <f t="shared" si="46"/>
        <v>/* 73 */   [ac("", "cp0","")],</v>
      </c>
      <c r="B344" s="9">
        <f t="shared" si="45"/>
        <v>73</v>
      </c>
      <c r="D344" s="39" t="str">
        <f t="shared" si="44"/>
        <v/>
      </c>
      <c r="E344" s="40" t="s">
        <v>52</v>
      </c>
      <c r="F344" s="41" t="str">
        <f>IF(E237="","",E237)</f>
        <v/>
      </c>
      <c r="G344" s="55" t="s">
        <v>53</v>
      </c>
      <c r="H344" s="41" t="str">
        <f t="shared" si="28"/>
        <v/>
      </c>
      <c r="I344" s="55" t="s">
        <v>54</v>
      </c>
      <c r="J344" s="41" t="str">
        <f>IF(F237="","",F237)</f>
        <v/>
      </c>
      <c r="K344" s="40" t="str">
        <f t="shared" si="29"/>
        <v/>
      </c>
      <c r="L344" s="43" t="str">
        <f>IF(G237="","",G237)</f>
        <v/>
      </c>
      <c r="M344" s="44" t="str">
        <f t="shared" si="30"/>
        <v/>
      </c>
      <c r="N344" s="45" t="str">
        <f t="shared" si="31"/>
        <v/>
      </c>
      <c r="O344" s="43" t="str">
        <f t="shared" si="32"/>
        <v/>
      </c>
      <c r="P344" s="46" t="str">
        <f t="shared" si="33"/>
        <v/>
      </c>
      <c r="Q344" s="47" t="str">
        <f>IF(H237="","",H237)</f>
        <v/>
      </c>
      <c r="R344" s="40" t="str">
        <f t="shared" si="34"/>
        <v/>
      </c>
      <c r="S344" s="41" t="str">
        <f>IF(I237="","",I237)</f>
        <v/>
      </c>
      <c r="T344" s="41" t="str">
        <f t="shared" si="35"/>
        <v/>
      </c>
      <c r="U344" s="41" t="str">
        <f t="shared" si="36"/>
        <v/>
      </c>
      <c r="V344" s="41" t="str">
        <f t="shared" si="37"/>
        <v/>
      </c>
      <c r="W344" s="41" t="str">
        <f t="shared" si="38"/>
        <v/>
      </c>
      <c r="X344" s="41" t="str">
        <f>IF(J237="","",J237)</f>
        <v/>
      </c>
      <c r="Y344" s="40" t="str">
        <f t="shared" si="39"/>
        <v/>
      </c>
      <c r="Z344" s="47" t="str">
        <f>IF(K237="","",K237)</f>
        <v/>
      </c>
      <c r="AA344" s="47" t="str">
        <f t="shared" si="40"/>
        <v/>
      </c>
      <c r="AB344" s="47" t="str">
        <f t="shared" si="41"/>
        <v/>
      </c>
      <c r="AC344" s="47" t="str">
        <f t="shared" si="42"/>
        <v/>
      </c>
      <c r="AD344" s="47" t="str">
        <f t="shared" si="43"/>
        <v/>
      </c>
      <c r="AE344" s="47" t="str">
        <f>IF(L237="","",L237)</f>
        <v/>
      </c>
      <c r="AF344" s="40" t="str">
        <f>IF(Z344&lt;&gt;"",IF(AG173="",""")],","), ac("),"")</f>
        <v/>
      </c>
    </row>
    <row r="345" spans="1:32" s="9" customFormat="1" ht="24.75" hidden="1" x14ac:dyDescent="0.4">
      <c r="A345" s="9" t="str">
        <f t="shared" si="46"/>
        <v>/* 74 */   [ac("", "cp0","")],</v>
      </c>
      <c r="B345" s="9">
        <f t="shared" si="45"/>
        <v>74</v>
      </c>
      <c r="D345" s="39" t="str">
        <f t="shared" si="44"/>
        <v/>
      </c>
      <c r="E345" s="40" t="s">
        <v>52</v>
      </c>
      <c r="F345" s="48" t="str">
        <f>IF(E238="","",E238)</f>
        <v/>
      </c>
      <c r="G345" s="49" t="s">
        <v>53</v>
      </c>
      <c r="H345" s="48" t="str">
        <f t="shared" si="28"/>
        <v/>
      </c>
      <c r="I345" s="49" t="s">
        <v>54</v>
      </c>
      <c r="J345" s="48" t="str">
        <f>IF(F238="","",F238)</f>
        <v/>
      </c>
      <c r="K345" s="40" t="str">
        <f t="shared" si="29"/>
        <v/>
      </c>
      <c r="L345" s="50" t="str">
        <f>IF(G238="","",G238)</f>
        <v/>
      </c>
      <c r="M345" s="51" t="str">
        <f t="shared" si="30"/>
        <v/>
      </c>
      <c r="N345" s="52" t="str">
        <f t="shared" si="31"/>
        <v/>
      </c>
      <c r="O345" s="50" t="str">
        <f t="shared" si="32"/>
        <v/>
      </c>
      <c r="P345" s="53" t="str">
        <f t="shared" si="33"/>
        <v/>
      </c>
      <c r="Q345" s="54" t="str">
        <f>IF(H238="","",H238)</f>
        <v/>
      </c>
      <c r="R345" s="40" t="str">
        <f t="shared" si="34"/>
        <v/>
      </c>
      <c r="S345" s="48" t="str">
        <f>IF(I238="","",I238)</f>
        <v/>
      </c>
      <c r="T345" s="48" t="str">
        <f t="shared" si="35"/>
        <v/>
      </c>
      <c r="U345" s="48" t="str">
        <f t="shared" si="36"/>
        <v/>
      </c>
      <c r="V345" s="48" t="str">
        <f t="shared" si="37"/>
        <v/>
      </c>
      <c r="W345" s="48" t="str">
        <f t="shared" si="38"/>
        <v/>
      </c>
      <c r="X345" s="48" t="str">
        <f>IF(J238="","",J238)</f>
        <v/>
      </c>
      <c r="Y345" s="40" t="str">
        <f t="shared" si="39"/>
        <v/>
      </c>
      <c r="Z345" s="54" t="str">
        <f>IF(K238="","",K238)</f>
        <v/>
      </c>
      <c r="AA345" s="54" t="str">
        <f t="shared" si="40"/>
        <v/>
      </c>
      <c r="AB345" s="54" t="str">
        <f t="shared" si="41"/>
        <v/>
      </c>
      <c r="AC345" s="54" t="str">
        <f t="shared" si="42"/>
        <v/>
      </c>
      <c r="AD345" s="54" t="str">
        <f t="shared" si="43"/>
        <v/>
      </c>
      <c r="AE345" s="54" t="str">
        <f>IF(L238="","",L238)</f>
        <v/>
      </c>
      <c r="AF345" s="40" t="str">
        <f>IF(Z345&lt;&gt;"",IF(AG174="",""")],","), ac("),"")</f>
        <v/>
      </c>
    </row>
    <row r="346" spans="1:32" s="9" customFormat="1" ht="24.75" hidden="1" x14ac:dyDescent="0.4">
      <c r="A346" s="9" t="str">
        <f t="shared" si="46"/>
        <v>/* 75 */   [ac("", "cp0","")],</v>
      </c>
      <c r="B346" s="9">
        <f t="shared" si="45"/>
        <v>75</v>
      </c>
      <c r="D346" s="39" t="str">
        <f t="shared" si="44"/>
        <v/>
      </c>
      <c r="E346" s="40" t="s">
        <v>52</v>
      </c>
      <c r="F346" s="41" t="str">
        <f>IF(E239="","",E239)</f>
        <v/>
      </c>
      <c r="G346" s="55" t="s">
        <v>53</v>
      </c>
      <c r="H346" s="41" t="str">
        <f t="shared" si="28"/>
        <v/>
      </c>
      <c r="I346" s="55" t="s">
        <v>54</v>
      </c>
      <c r="J346" s="41" t="str">
        <f>IF(F239="","",F239)</f>
        <v/>
      </c>
      <c r="K346" s="40" t="str">
        <f t="shared" si="29"/>
        <v/>
      </c>
      <c r="L346" s="43" t="str">
        <f>IF(G239="","",G239)</f>
        <v/>
      </c>
      <c r="M346" s="44" t="str">
        <f t="shared" si="30"/>
        <v/>
      </c>
      <c r="N346" s="45" t="str">
        <f t="shared" si="31"/>
        <v/>
      </c>
      <c r="O346" s="43" t="str">
        <f t="shared" si="32"/>
        <v/>
      </c>
      <c r="P346" s="46" t="str">
        <f t="shared" si="33"/>
        <v/>
      </c>
      <c r="Q346" s="47" t="str">
        <f>IF(H239="","",H239)</f>
        <v/>
      </c>
      <c r="R346" s="40" t="str">
        <f t="shared" si="34"/>
        <v/>
      </c>
      <c r="S346" s="41" t="str">
        <f>IF(I239="","",I239)</f>
        <v/>
      </c>
      <c r="T346" s="41" t="str">
        <f t="shared" si="35"/>
        <v/>
      </c>
      <c r="U346" s="41" t="str">
        <f t="shared" si="36"/>
        <v/>
      </c>
      <c r="V346" s="41" t="str">
        <f t="shared" si="37"/>
        <v/>
      </c>
      <c r="W346" s="41" t="str">
        <f t="shared" si="38"/>
        <v/>
      </c>
      <c r="X346" s="41" t="str">
        <f>IF(J239="","",J239)</f>
        <v/>
      </c>
      <c r="Y346" s="40" t="str">
        <f t="shared" si="39"/>
        <v/>
      </c>
      <c r="Z346" s="47" t="str">
        <f>IF(K239="","",K239)</f>
        <v/>
      </c>
      <c r="AA346" s="47" t="str">
        <f t="shared" si="40"/>
        <v/>
      </c>
      <c r="AB346" s="47" t="str">
        <f t="shared" si="41"/>
        <v/>
      </c>
      <c r="AC346" s="47" t="str">
        <f t="shared" si="42"/>
        <v/>
      </c>
      <c r="AD346" s="47" t="str">
        <f t="shared" si="43"/>
        <v/>
      </c>
      <c r="AE346" s="47" t="str">
        <f>IF(L239="","",L239)</f>
        <v/>
      </c>
      <c r="AF346" s="40" t="str">
        <f>IF(Z346&lt;&gt;"",IF(AG175="",""")],","), ac("),"")</f>
        <v/>
      </c>
    </row>
    <row r="347" spans="1:32" s="9" customFormat="1" ht="24.75" hidden="1" x14ac:dyDescent="0.4">
      <c r="A347" s="9" t="str">
        <f t="shared" si="46"/>
        <v>/* 76 */   [ac("", "cp0","")],</v>
      </c>
      <c r="B347" s="9">
        <f t="shared" si="45"/>
        <v>76</v>
      </c>
      <c r="D347" s="39" t="str">
        <f t="shared" si="44"/>
        <v/>
      </c>
      <c r="E347" s="40" t="s">
        <v>52</v>
      </c>
      <c r="F347" s="48" t="str">
        <f>IF(E240="","",E240)</f>
        <v/>
      </c>
      <c r="G347" s="49" t="s">
        <v>53</v>
      </c>
      <c r="H347" s="48" t="str">
        <f t="shared" si="28"/>
        <v/>
      </c>
      <c r="I347" s="49" t="s">
        <v>54</v>
      </c>
      <c r="J347" s="48" t="str">
        <f>IF(F240="","",F240)</f>
        <v/>
      </c>
      <c r="K347" s="40" t="str">
        <f t="shared" si="29"/>
        <v/>
      </c>
      <c r="L347" s="50" t="str">
        <f>IF(G240="","",G240)</f>
        <v/>
      </c>
      <c r="M347" s="51" t="str">
        <f t="shared" si="30"/>
        <v/>
      </c>
      <c r="N347" s="52" t="str">
        <f t="shared" si="31"/>
        <v/>
      </c>
      <c r="O347" s="50" t="str">
        <f t="shared" si="32"/>
        <v/>
      </c>
      <c r="P347" s="53" t="str">
        <f t="shared" si="33"/>
        <v/>
      </c>
      <c r="Q347" s="54" t="str">
        <f>IF(H240="","",H240)</f>
        <v/>
      </c>
      <c r="R347" s="40" t="str">
        <f t="shared" si="34"/>
        <v/>
      </c>
      <c r="S347" s="48" t="str">
        <f>IF(I240="","",I240)</f>
        <v/>
      </c>
      <c r="T347" s="48" t="str">
        <f t="shared" si="35"/>
        <v/>
      </c>
      <c r="U347" s="48" t="str">
        <f t="shared" si="36"/>
        <v/>
      </c>
      <c r="V347" s="48" t="str">
        <f t="shared" si="37"/>
        <v/>
      </c>
      <c r="W347" s="48" t="str">
        <f t="shared" si="38"/>
        <v/>
      </c>
      <c r="X347" s="48" t="str">
        <f>IF(J240="","",J240)</f>
        <v/>
      </c>
      <c r="Y347" s="40" t="str">
        <f t="shared" si="39"/>
        <v/>
      </c>
      <c r="Z347" s="54" t="str">
        <f>IF(K240="","",K240)</f>
        <v/>
      </c>
      <c r="AA347" s="54" t="str">
        <f t="shared" si="40"/>
        <v/>
      </c>
      <c r="AB347" s="54" t="str">
        <f t="shared" si="41"/>
        <v/>
      </c>
      <c r="AC347" s="54" t="str">
        <f t="shared" si="42"/>
        <v/>
      </c>
      <c r="AD347" s="54" t="str">
        <f t="shared" si="43"/>
        <v/>
      </c>
      <c r="AE347" s="54" t="str">
        <f>IF(L240="","",L240)</f>
        <v/>
      </c>
      <c r="AF347" s="40" t="str">
        <f>IF(Z347&lt;&gt;"",IF(AG176="",""")],","), ac("),"")</f>
        <v/>
      </c>
    </row>
    <row r="348" spans="1:32" s="9" customFormat="1" ht="24.75" hidden="1" x14ac:dyDescent="0.4">
      <c r="A348" s="9" t="str">
        <f t="shared" si="46"/>
        <v>/* 77 */   [ac("", "cp0","")],</v>
      </c>
      <c r="B348" s="9">
        <f t="shared" si="45"/>
        <v>77</v>
      </c>
      <c r="D348" s="39" t="str">
        <f t="shared" si="44"/>
        <v/>
      </c>
      <c r="E348" s="40" t="s">
        <v>52</v>
      </c>
      <c r="F348" s="41" t="str">
        <f>IF(E241="","",E241)</f>
        <v/>
      </c>
      <c r="G348" s="55" t="s">
        <v>53</v>
      </c>
      <c r="H348" s="41" t="str">
        <f t="shared" si="28"/>
        <v/>
      </c>
      <c r="I348" s="55" t="s">
        <v>54</v>
      </c>
      <c r="J348" s="41" t="str">
        <f>IF(F241="","",F241)</f>
        <v/>
      </c>
      <c r="K348" s="40" t="str">
        <f t="shared" si="29"/>
        <v/>
      </c>
      <c r="L348" s="43" t="str">
        <f>IF(G241="","",G241)</f>
        <v/>
      </c>
      <c r="M348" s="44" t="str">
        <f t="shared" si="30"/>
        <v/>
      </c>
      <c r="N348" s="45" t="str">
        <f t="shared" si="31"/>
        <v/>
      </c>
      <c r="O348" s="43" t="str">
        <f t="shared" si="32"/>
        <v/>
      </c>
      <c r="P348" s="46" t="str">
        <f t="shared" si="33"/>
        <v/>
      </c>
      <c r="Q348" s="47" t="str">
        <f>IF(H241="","",H241)</f>
        <v/>
      </c>
      <c r="R348" s="40" t="str">
        <f t="shared" si="34"/>
        <v/>
      </c>
      <c r="S348" s="41" t="str">
        <f>IF(I241="","",I241)</f>
        <v/>
      </c>
      <c r="T348" s="41" t="str">
        <f t="shared" si="35"/>
        <v/>
      </c>
      <c r="U348" s="41" t="str">
        <f t="shared" si="36"/>
        <v/>
      </c>
      <c r="V348" s="41" t="str">
        <f t="shared" si="37"/>
        <v/>
      </c>
      <c r="W348" s="41" t="str">
        <f t="shared" si="38"/>
        <v/>
      </c>
      <c r="X348" s="41" t="str">
        <f>IF(J241="","",J241)</f>
        <v/>
      </c>
      <c r="Y348" s="40" t="str">
        <f t="shared" si="39"/>
        <v/>
      </c>
      <c r="Z348" s="47" t="str">
        <f>IF(K241="","",K241)</f>
        <v/>
      </c>
      <c r="AA348" s="47" t="str">
        <f t="shared" si="40"/>
        <v/>
      </c>
      <c r="AB348" s="47" t="str">
        <f t="shared" si="41"/>
        <v/>
      </c>
      <c r="AC348" s="47" t="str">
        <f t="shared" si="42"/>
        <v/>
      </c>
      <c r="AD348" s="47" t="str">
        <f t="shared" si="43"/>
        <v/>
      </c>
      <c r="AE348" s="47" t="str">
        <f>IF(L241="","",L241)</f>
        <v/>
      </c>
      <c r="AF348" s="40" t="str">
        <f>IF(Z348&lt;&gt;"",IF(AG177="",""")],","), ac("),"")</f>
        <v/>
      </c>
    </row>
    <row r="349" spans="1:32" s="9" customFormat="1" ht="24.75" hidden="1" x14ac:dyDescent="0.4">
      <c r="A349" s="9" t="str">
        <f t="shared" si="46"/>
        <v>/* 78 */   [ac("", "cp0","")],</v>
      </c>
      <c r="B349" s="9">
        <f t="shared" si="45"/>
        <v>78</v>
      </c>
      <c r="D349" s="39" t="str">
        <f t="shared" si="44"/>
        <v/>
      </c>
      <c r="E349" s="40" t="s">
        <v>52</v>
      </c>
      <c r="F349" s="48" t="str">
        <f>IF(E242="","",E242)</f>
        <v/>
      </c>
      <c r="G349" s="49" t="s">
        <v>53</v>
      </c>
      <c r="H349" s="48" t="str">
        <f t="shared" si="28"/>
        <v/>
      </c>
      <c r="I349" s="49" t="s">
        <v>54</v>
      </c>
      <c r="J349" s="48" t="str">
        <f>IF(F242="","",F242)</f>
        <v/>
      </c>
      <c r="K349" s="40" t="str">
        <f t="shared" si="29"/>
        <v/>
      </c>
      <c r="L349" s="50" t="str">
        <f>IF(G242="","",G242)</f>
        <v/>
      </c>
      <c r="M349" s="51" t="str">
        <f t="shared" si="30"/>
        <v/>
      </c>
      <c r="N349" s="52" t="str">
        <f t="shared" si="31"/>
        <v/>
      </c>
      <c r="O349" s="50" t="str">
        <f t="shared" si="32"/>
        <v/>
      </c>
      <c r="P349" s="53" t="str">
        <f t="shared" si="33"/>
        <v/>
      </c>
      <c r="Q349" s="54" t="str">
        <f>IF(H242="","",H242)</f>
        <v/>
      </c>
      <c r="R349" s="40" t="str">
        <f t="shared" si="34"/>
        <v/>
      </c>
      <c r="S349" s="48" t="str">
        <f>IF(I242="","",I242)</f>
        <v/>
      </c>
      <c r="T349" s="48" t="str">
        <f t="shared" si="35"/>
        <v/>
      </c>
      <c r="U349" s="48" t="str">
        <f t="shared" si="36"/>
        <v/>
      </c>
      <c r="V349" s="48" t="str">
        <f t="shared" si="37"/>
        <v/>
      </c>
      <c r="W349" s="48" t="str">
        <f t="shared" si="38"/>
        <v/>
      </c>
      <c r="X349" s="48" t="str">
        <f>IF(J242="","",J242)</f>
        <v/>
      </c>
      <c r="Y349" s="40" t="str">
        <f t="shared" si="39"/>
        <v/>
      </c>
      <c r="Z349" s="54" t="str">
        <f>IF(K242="","",K242)</f>
        <v/>
      </c>
      <c r="AA349" s="54" t="str">
        <f t="shared" si="40"/>
        <v/>
      </c>
      <c r="AB349" s="54" t="str">
        <f t="shared" si="41"/>
        <v/>
      </c>
      <c r="AC349" s="54" t="str">
        <f t="shared" si="42"/>
        <v/>
      </c>
      <c r="AD349" s="54" t="str">
        <f t="shared" si="43"/>
        <v/>
      </c>
      <c r="AE349" s="54" t="str">
        <f>IF(L242="","",L242)</f>
        <v/>
      </c>
      <c r="AF349" s="40" t="str">
        <f>IF(Z349&lt;&gt;"",IF(AG178="",""")],","), ac("),"")</f>
        <v/>
      </c>
    </row>
    <row r="350" spans="1:32" s="9" customFormat="1" ht="24.75" hidden="1" x14ac:dyDescent="0.4">
      <c r="A350" s="9" t="str">
        <f t="shared" si="46"/>
        <v>/* 79 */   [ac("", "cp0","")],</v>
      </c>
      <c r="B350" s="9">
        <f t="shared" si="45"/>
        <v>79</v>
      </c>
      <c r="D350" s="39" t="str">
        <f t="shared" si="44"/>
        <v/>
      </c>
      <c r="E350" s="40" t="s">
        <v>52</v>
      </c>
      <c r="F350" s="41" t="str">
        <f>IF(E243="","",E243)</f>
        <v/>
      </c>
      <c r="G350" s="55" t="s">
        <v>53</v>
      </c>
      <c r="H350" s="41" t="str">
        <f t="shared" si="28"/>
        <v/>
      </c>
      <c r="I350" s="55" t="s">
        <v>54</v>
      </c>
      <c r="J350" s="41" t="str">
        <f>IF(F243="","",F243)</f>
        <v/>
      </c>
      <c r="K350" s="40" t="str">
        <f t="shared" si="29"/>
        <v/>
      </c>
      <c r="L350" s="43" t="str">
        <f>IF(G243="","",G243)</f>
        <v/>
      </c>
      <c r="M350" s="44" t="str">
        <f t="shared" si="30"/>
        <v/>
      </c>
      <c r="N350" s="45" t="str">
        <f t="shared" si="31"/>
        <v/>
      </c>
      <c r="O350" s="43" t="str">
        <f t="shared" si="32"/>
        <v/>
      </c>
      <c r="P350" s="46" t="str">
        <f t="shared" si="33"/>
        <v/>
      </c>
      <c r="Q350" s="47" t="str">
        <f>IF(H243="","",H243)</f>
        <v/>
      </c>
      <c r="R350" s="40" t="str">
        <f t="shared" si="34"/>
        <v/>
      </c>
      <c r="S350" s="41" t="str">
        <f>IF(I243="","",I243)</f>
        <v/>
      </c>
      <c r="T350" s="41" t="str">
        <f t="shared" si="35"/>
        <v/>
      </c>
      <c r="U350" s="41" t="str">
        <f t="shared" si="36"/>
        <v/>
      </c>
      <c r="V350" s="41" t="str">
        <f t="shared" si="37"/>
        <v/>
      </c>
      <c r="W350" s="41" t="str">
        <f t="shared" si="38"/>
        <v/>
      </c>
      <c r="X350" s="41" t="str">
        <f>IF(J243="","",J243)</f>
        <v/>
      </c>
      <c r="Y350" s="40" t="str">
        <f t="shared" si="39"/>
        <v/>
      </c>
      <c r="Z350" s="47" t="str">
        <f>IF(K243="","",K243)</f>
        <v/>
      </c>
      <c r="AA350" s="47" t="str">
        <f t="shared" si="40"/>
        <v/>
      </c>
      <c r="AB350" s="47" t="str">
        <f t="shared" si="41"/>
        <v/>
      </c>
      <c r="AC350" s="47" t="str">
        <f t="shared" si="42"/>
        <v/>
      </c>
      <c r="AD350" s="47" t="str">
        <f t="shared" si="43"/>
        <v/>
      </c>
      <c r="AE350" s="47" t="str">
        <f>IF(L243="","",L243)</f>
        <v/>
      </c>
      <c r="AF350" s="40" t="str">
        <f>IF(Z350&lt;&gt;"",IF(AG179="",""")],","), ac("),"")</f>
        <v/>
      </c>
    </row>
    <row r="351" spans="1:32" s="9" customFormat="1" ht="24.75" hidden="1" x14ac:dyDescent="0.4">
      <c r="A351" s="9" t="str">
        <f t="shared" si="46"/>
        <v>/* 80 */   [ac("", "cp0","")],</v>
      </c>
      <c r="B351" s="9">
        <f t="shared" si="45"/>
        <v>80</v>
      </c>
      <c r="D351" s="39" t="str">
        <f t="shared" si="44"/>
        <v/>
      </c>
      <c r="E351" s="40" t="s">
        <v>52</v>
      </c>
      <c r="F351" s="48" t="str">
        <f>IF(E244="","",E244)</f>
        <v/>
      </c>
      <c r="G351" s="49" t="s">
        <v>53</v>
      </c>
      <c r="H351" s="48" t="str">
        <f t="shared" si="28"/>
        <v/>
      </c>
      <c r="I351" s="49" t="s">
        <v>54</v>
      </c>
      <c r="J351" s="48" t="str">
        <f>IF(F244="","",F244)</f>
        <v/>
      </c>
      <c r="K351" s="40" t="str">
        <f t="shared" si="29"/>
        <v/>
      </c>
      <c r="L351" s="50" t="str">
        <f>IF(G244="","",G244)</f>
        <v/>
      </c>
      <c r="M351" s="51" t="str">
        <f t="shared" si="30"/>
        <v/>
      </c>
      <c r="N351" s="52" t="str">
        <f t="shared" si="31"/>
        <v/>
      </c>
      <c r="O351" s="50" t="str">
        <f t="shared" si="32"/>
        <v/>
      </c>
      <c r="P351" s="53" t="str">
        <f t="shared" si="33"/>
        <v/>
      </c>
      <c r="Q351" s="54" t="str">
        <f>IF(H244="","",H244)</f>
        <v/>
      </c>
      <c r="R351" s="40" t="str">
        <f t="shared" si="34"/>
        <v/>
      </c>
      <c r="S351" s="48" t="str">
        <f>IF(I244="","",I244)</f>
        <v/>
      </c>
      <c r="T351" s="48" t="str">
        <f t="shared" si="35"/>
        <v/>
      </c>
      <c r="U351" s="48" t="str">
        <f t="shared" si="36"/>
        <v/>
      </c>
      <c r="V351" s="48" t="str">
        <f t="shared" si="37"/>
        <v/>
      </c>
      <c r="W351" s="48" t="str">
        <f t="shared" si="38"/>
        <v/>
      </c>
      <c r="X351" s="48" t="str">
        <f>IF(J244="","",J244)</f>
        <v/>
      </c>
      <c r="Y351" s="40" t="str">
        <f t="shared" si="39"/>
        <v/>
      </c>
      <c r="Z351" s="54" t="str">
        <f>IF(K244="","",K244)</f>
        <v/>
      </c>
      <c r="AA351" s="54" t="str">
        <f t="shared" si="40"/>
        <v/>
      </c>
      <c r="AB351" s="54" t="str">
        <f t="shared" si="41"/>
        <v/>
      </c>
      <c r="AC351" s="54" t="str">
        <f t="shared" si="42"/>
        <v/>
      </c>
      <c r="AD351" s="54" t="str">
        <f t="shared" si="43"/>
        <v/>
      </c>
      <c r="AE351" s="54" t="str">
        <f>IF(L244="","",L244)</f>
        <v/>
      </c>
      <c r="AF351" s="40" t="str">
        <f>IF(Z351&lt;&gt;"",IF(AG180="",""")],","), ac("),"")</f>
        <v/>
      </c>
    </row>
    <row r="352" spans="1:32" s="9" customFormat="1" ht="24.75" hidden="1" x14ac:dyDescent="0.4">
      <c r="A352" s="9" t="str">
        <f t="shared" si="46"/>
        <v>/* 81 */   [ac("", "cp0","")],</v>
      </c>
      <c r="B352" s="9">
        <f t="shared" si="45"/>
        <v>81</v>
      </c>
      <c r="D352" s="39" t="str">
        <f t="shared" si="44"/>
        <v/>
      </c>
      <c r="E352" s="40" t="s">
        <v>52</v>
      </c>
      <c r="F352" s="41" t="str">
        <f>IF(E245="","",E245)</f>
        <v/>
      </c>
      <c r="G352" s="55" t="s">
        <v>53</v>
      </c>
      <c r="H352" s="41" t="str">
        <f t="shared" si="28"/>
        <v/>
      </c>
      <c r="I352" s="55" t="s">
        <v>54</v>
      </c>
      <c r="J352" s="41" t="str">
        <f>IF(F245="","",F245)</f>
        <v/>
      </c>
      <c r="K352" s="40" t="str">
        <f t="shared" si="29"/>
        <v/>
      </c>
      <c r="L352" s="43" t="str">
        <f>IF(G245="","",G245)</f>
        <v/>
      </c>
      <c r="M352" s="44" t="str">
        <f t="shared" si="30"/>
        <v/>
      </c>
      <c r="N352" s="45" t="str">
        <f t="shared" si="31"/>
        <v/>
      </c>
      <c r="O352" s="43" t="str">
        <f t="shared" si="32"/>
        <v/>
      </c>
      <c r="P352" s="46" t="str">
        <f t="shared" si="33"/>
        <v/>
      </c>
      <c r="Q352" s="47" t="str">
        <f>IF(H245="","",H245)</f>
        <v/>
      </c>
      <c r="R352" s="40" t="str">
        <f t="shared" si="34"/>
        <v/>
      </c>
      <c r="S352" s="41" t="str">
        <f>IF(I245="","",I245)</f>
        <v/>
      </c>
      <c r="T352" s="41" t="str">
        <f t="shared" si="35"/>
        <v/>
      </c>
      <c r="U352" s="41" t="str">
        <f t="shared" si="36"/>
        <v/>
      </c>
      <c r="V352" s="41" t="str">
        <f t="shared" si="37"/>
        <v/>
      </c>
      <c r="W352" s="41" t="str">
        <f t="shared" si="38"/>
        <v/>
      </c>
      <c r="X352" s="41" t="str">
        <f>IF(J245="","",J245)</f>
        <v/>
      </c>
      <c r="Y352" s="40" t="str">
        <f t="shared" si="39"/>
        <v/>
      </c>
      <c r="Z352" s="47" t="str">
        <f>IF(K245="","",K245)</f>
        <v/>
      </c>
      <c r="AA352" s="47" t="str">
        <f t="shared" si="40"/>
        <v/>
      </c>
      <c r="AB352" s="47" t="str">
        <f t="shared" si="41"/>
        <v/>
      </c>
      <c r="AC352" s="47" t="str">
        <f t="shared" si="42"/>
        <v/>
      </c>
      <c r="AD352" s="47" t="str">
        <f t="shared" si="43"/>
        <v/>
      </c>
      <c r="AE352" s="47" t="str">
        <f>IF(L245="","",L245)</f>
        <v/>
      </c>
      <c r="AF352" s="40" t="str">
        <f>IF(Z352&lt;&gt;"",IF(AG181="",""")],","), ac("),"")</f>
        <v/>
      </c>
    </row>
    <row r="353" spans="1:32" s="9" customFormat="1" ht="24.75" hidden="1" x14ac:dyDescent="0.4">
      <c r="A353" s="9" t="str">
        <f t="shared" si="46"/>
        <v>/* 82 */   [ac("", "cp0","")],</v>
      </c>
      <c r="B353" s="9">
        <f t="shared" si="45"/>
        <v>82</v>
      </c>
      <c r="D353" s="39" t="str">
        <f t="shared" si="44"/>
        <v/>
      </c>
      <c r="E353" s="40" t="s">
        <v>52</v>
      </c>
      <c r="F353" s="48" t="str">
        <f>IF(E246="","",E246)</f>
        <v/>
      </c>
      <c r="G353" s="49" t="s">
        <v>53</v>
      </c>
      <c r="H353" s="48" t="str">
        <f t="shared" si="28"/>
        <v/>
      </c>
      <c r="I353" s="49" t="s">
        <v>54</v>
      </c>
      <c r="J353" s="48" t="str">
        <f>IF(F246="","",F246)</f>
        <v/>
      </c>
      <c r="K353" s="40" t="str">
        <f t="shared" si="29"/>
        <v/>
      </c>
      <c r="L353" s="50" t="str">
        <f>IF(G246="","",G246)</f>
        <v/>
      </c>
      <c r="M353" s="51" t="str">
        <f t="shared" si="30"/>
        <v/>
      </c>
      <c r="N353" s="52" t="str">
        <f t="shared" si="31"/>
        <v/>
      </c>
      <c r="O353" s="50" t="str">
        <f t="shared" si="32"/>
        <v/>
      </c>
      <c r="P353" s="53" t="str">
        <f t="shared" si="33"/>
        <v/>
      </c>
      <c r="Q353" s="54" t="str">
        <f>IF(H246="","",H246)</f>
        <v/>
      </c>
      <c r="R353" s="40" t="str">
        <f t="shared" si="34"/>
        <v/>
      </c>
      <c r="S353" s="48" t="str">
        <f>IF(I246="","",I246)</f>
        <v/>
      </c>
      <c r="T353" s="48" t="str">
        <f t="shared" si="35"/>
        <v/>
      </c>
      <c r="U353" s="48" t="str">
        <f t="shared" si="36"/>
        <v/>
      </c>
      <c r="V353" s="48" t="str">
        <f t="shared" si="37"/>
        <v/>
      </c>
      <c r="W353" s="48" t="str">
        <f t="shared" si="38"/>
        <v/>
      </c>
      <c r="X353" s="48" t="str">
        <f>IF(J246="","",J246)</f>
        <v/>
      </c>
      <c r="Y353" s="40" t="str">
        <f t="shared" si="39"/>
        <v/>
      </c>
      <c r="Z353" s="54" t="str">
        <f>IF(K246="","",K246)</f>
        <v/>
      </c>
      <c r="AA353" s="54" t="str">
        <f t="shared" si="40"/>
        <v/>
      </c>
      <c r="AB353" s="54" t="str">
        <f t="shared" si="41"/>
        <v/>
      </c>
      <c r="AC353" s="54" t="str">
        <f t="shared" si="42"/>
        <v/>
      </c>
      <c r="AD353" s="54" t="str">
        <f t="shared" si="43"/>
        <v/>
      </c>
      <c r="AE353" s="54" t="str">
        <f>IF(L246="","",L246)</f>
        <v/>
      </c>
      <c r="AF353" s="40" t="str">
        <f>IF(Z353&lt;&gt;"",IF(AG182="",""")],","), ac("),"")</f>
        <v/>
      </c>
    </row>
    <row r="354" spans="1:32" s="9" customFormat="1" ht="24.75" hidden="1" x14ac:dyDescent="0.4">
      <c r="A354" s="9" t="str">
        <f t="shared" si="46"/>
        <v>/* 83 */   [ac("", "cp0","")],</v>
      </c>
      <c r="B354" s="9">
        <f t="shared" si="45"/>
        <v>83</v>
      </c>
      <c r="D354" s="39" t="str">
        <f t="shared" si="44"/>
        <v/>
      </c>
      <c r="E354" s="40" t="s">
        <v>52</v>
      </c>
      <c r="F354" s="41" t="str">
        <f>IF(E247="","",E247)</f>
        <v/>
      </c>
      <c r="G354" s="55" t="s">
        <v>53</v>
      </c>
      <c r="H354" s="41" t="str">
        <f t="shared" si="28"/>
        <v/>
      </c>
      <c r="I354" s="55" t="s">
        <v>54</v>
      </c>
      <c r="J354" s="41" t="str">
        <f>IF(F247="","",F247)</f>
        <v/>
      </c>
      <c r="K354" s="40" t="str">
        <f t="shared" si="29"/>
        <v/>
      </c>
      <c r="L354" s="43" t="str">
        <f>IF(G247="","",G247)</f>
        <v/>
      </c>
      <c r="M354" s="44" t="str">
        <f t="shared" si="30"/>
        <v/>
      </c>
      <c r="N354" s="45" t="str">
        <f t="shared" si="31"/>
        <v/>
      </c>
      <c r="O354" s="43" t="str">
        <f t="shared" si="32"/>
        <v/>
      </c>
      <c r="P354" s="46" t="str">
        <f t="shared" si="33"/>
        <v/>
      </c>
      <c r="Q354" s="47" t="str">
        <f>IF(H247="","",H247)</f>
        <v/>
      </c>
      <c r="R354" s="40" t="str">
        <f t="shared" si="34"/>
        <v/>
      </c>
      <c r="S354" s="41" t="str">
        <f>IF(I247="","",I247)</f>
        <v/>
      </c>
      <c r="T354" s="41" t="str">
        <f t="shared" si="35"/>
        <v/>
      </c>
      <c r="U354" s="41" t="str">
        <f t="shared" si="36"/>
        <v/>
      </c>
      <c r="V354" s="41" t="str">
        <f t="shared" si="37"/>
        <v/>
      </c>
      <c r="W354" s="41" t="str">
        <f t="shared" si="38"/>
        <v/>
      </c>
      <c r="X354" s="41" t="str">
        <f>IF(J247="","",J247)</f>
        <v/>
      </c>
      <c r="Y354" s="40" t="str">
        <f t="shared" si="39"/>
        <v/>
      </c>
      <c r="Z354" s="47" t="str">
        <f>IF(K247="","",K247)</f>
        <v/>
      </c>
      <c r="AA354" s="47" t="str">
        <f t="shared" si="40"/>
        <v/>
      </c>
      <c r="AB354" s="47" t="str">
        <f t="shared" si="41"/>
        <v/>
      </c>
      <c r="AC354" s="47" t="str">
        <f t="shared" si="42"/>
        <v/>
      </c>
      <c r="AD354" s="47" t="str">
        <f t="shared" si="43"/>
        <v/>
      </c>
      <c r="AE354" s="47" t="str">
        <f>IF(L247="","",L247)</f>
        <v/>
      </c>
      <c r="AF354" s="40" t="str">
        <f>IF(Z354&lt;&gt;"",IF(AG183="",""")],","), ac("),"")</f>
        <v/>
      </c>
    </row>
    <row r="355" spans="1:32" s="9" customFormat="1" ht="24.75" hidden="1" x14ac:dyDescent="0.4">
      <c r="A355" s="9" t="str">
        <f t="shared" si="46"/>
        <v>/* 84 */   [ac("", "cp0","")],</v>
      </c>
      <c r="B355" s="9">
        <f t="shared" si="45"/>
        <v>84</v>
      </c>
      <c r="D355" s="39" t="str">
        <f t="shared" si="44"/>
        <v/>
      </c>
      <c r="E355" s="40" t="s">
        <v>52</v>
      </c>
      <c r="F355" s="48" t="str">
        <f>IF(E248="","",E248)</f>
        <v/>
      </c>
      <c r="G355" s="49" t="s">
        <v>53</v>
      </c>
      <c r="H355" s="48" t="str">
        <f t="shared" si="28"/>
        <v/>
      </c>
      <c r="I355" s="49" t="s">
        <v>54</v>
      </c>
      <c r="J355" s="48" t="str">
        <f>IF(F248="","",F248)</f>
        <v/>
      </c>
      <c r="K355" s="40" t="str">
        <f t="shared" si="29"/>
        <v/>
      </c>
      <c r="L355" s="50" t="str">
        <f>IF(G248="","",G248)</f>
        <v/>
      </c>
      <c r="M355" s="51" t="str">
        <f t="shared" si="30"/>
        <v/>
      </c>
      <c r="N355" s="52" t="str">
        <f t="shared" si="31"/>
        <v/>
      </c>
      <c r="O355" s="50" t="str">
        <f t="shared" si="32"/>
        <v/>
      </c>
      <c r="P355" s="53" t="str">
        <f t="shared" si="33"/>
        <v/>
      </c>
      <c r="Q355" s="54" t="str">
        <f>IF(H248="","",H248)</f>
        <v/>
      </c>
      <c r="R355" s="40" t="str">
        <f t="shared" si="34"/>
        <v/>
      </c>
      <c r="S355" s="48" t="str">
        <f>IF(I248="","",I248)</f>
        <v/>
      </c>
      <c r="T355" s="48" t="str">
        <f t="shared" si="35"/>
        <v/>
      </c>
      <c r="U355" s="48" t="str">
        <f t="shared" si="36"/>
        <v/>
      </c>
      <c r="V355" s="48" t="str">
        <f t="shared" si="37"/>
        <v/>
      </c>
      <c r="W355" s="48" t="str">
        <f t="shared" si="38"/>
        <v/>
      </c>
      <c r="X355" s="48" t="str">
        <f>IF(J248="","",J248)</f>
        <v/>
      </c>
      <c r="Y355" s="40" t="str">
        <f t="shared" si="39"/>
        <v/>
      </c>
      <c r="Z355" s="54" t="str">
        <f>IF(K248="","",K248)</f>
        <v/>
      </c>
      <c r="AA355" s="54" t="str">
        <f t="shared" si="40"/>
        <v/>
      </c>
      <c r="AB355" s="54" t="str">
        <f t="shared" si="41"/>
        <v/>
      </c>
      <c r="AC355" s="54" t="str">
        <f t="shared" si="42"/>
        <v/>
      </c>
      <c r="AD355" s="54" t="str">
        <f t="shared" si="43"/>
        <v/>
      </c>
      <c r="AE355" s="54" t="str">
        <f>IF(L248="","",L248)</f>
        <v/>
      </c>
      <c r="AF355" s="40" t="str">
        <f>IF(Z355&lt;&gt;"",IF(AG184="",""")],","), ac("),"")</f>
        <v/>
      </c>
    </row>
    <row r="356" spans="1:32" s="9" customFormat="1" ht="24.75" hidden="1" x14ac:dyDescent="0.4">
      <c r="A356" s="9" t="str">
        <f t="shared" si="46"/>
        <v>/* 85 */   [ac("", "cp0","")],</v>
      </c>
      <c r="B356" s="9">
        <f t="shared" si="45"/>
        <v>85</v>
      </c>
      <c r="D356" s="39" t="str">
        <f t="shared" si="44"/>
        <v/>
      </c>
      <c r="E356" s="40" t="s">
        <v>52</v>
      </c>
      <c r="F356" s="41" t="str">
        <f>IF(E249="","",E249)</f>
        <v/>
      </c>
      <c r="G356" s="55" t="s">
        <v>53</v>
      </c>
      <c r="H356" s="41" t="str">
        <f t="shared" si="28"/>
        <v/>
      </c>
      <c r="I356" s="55" t="s">
        <v>54</v>
      </c>
      <c r="J356" s="41" t="str">
        <f>IF(F249="","",F249)</f>
        <v/>
      </c>
      <c r="K356" s="40" t="str">
        <f t="shared" si="29"/>
        <v/>
      </c>
      <c r="L356" s="43" t="str">
        <f>IF(G249="","",G249)</f>
        <v/>
      </c>
      <c r="M356" s="44" t="str">
        <f t="shared" si="30"/>
        <v/>
      </c>
      <c r="N356" s="45" t="str">
        <f t="shared" si="31"/>
        <v/>
      </c>
      <c r="O356" s="43" t="str">
        <f t="shared" si="32"/>
        <v/>
      </c>
      <c r="P356" s="46" t="str">
        <f t="shared" si="33"/>
        <v/>
      </c>
      <c r="Q356" s="47" t="str">
        <f>IF(H249="","",H249)</f>
        <v/>
      </c>
      <c r="R356" s="40" t="str">
        <f t="shared" si="34"/>
        <v/>
      </c>
      <c r="S356" s="41" t="str">
        <f>IF(I249="","",I249)</f>
        <v/>
      </c>
      <c r="T356" s="41" t="str">
        <f t="shared" si="35"/>
        <v/>
      </c>
      <c r="U356" s="41" t="str">
        <f t="shared" si="36"/>
        <v/>
      </c>
      <c r="V356" s="41" t="str">
        <f t="shared" si="37"/>
        <v/>
      </c>
      <c r="W356" s="41" t="str">
        <f t="shared" si="38"/>
        <v/>
      </c>
      <c r="X356" s="41" t="str">
        <f>IF(J249="","",J249)</f>
        <v/>
      </c>
      <c r="Y356" s="40" t="str">
        <f t="shared" si="39"/>
        <v/>
      </c>
      <c r="Z356" s="47" t="str">
        <f>IF(K249="","",K249)</f>
        <v/>
      </c>
      <c r="AA356" s="47" t="str">
        <f t="shared" si="40"/>
        <v/>
      </c>
      <c r="AB356" s="47" t="str">
        <f t="shared" si="41"/>
        <v/>
      </c>
      <c r="AC356" s="47" t="str">
        <f t="shared" si="42"/>
        <v/>
      </c>
      <c r="AD356" s="47" t="str">
        <f t="shared" si="43"/>
        <v/>
      </c>
      <c r="AE356" s="47" t="str">
        <f>IF(L249="","",L249)</f>
        <v/>
      </c>
      <c r="AF356" s="40" t="str">
        <f>IF(Z356&lt;&gt;"",IF(AG185="",""")],","), ac("),"")</f>
        <v/>
      </c>
    </row>
    <row r="357" spans="1:32" s="9" customFormat="1" ht="24.75" hidden="1" x14ac:dyDescent="0.4">
      <c r="A357" s="9" t="str">
        <f t="shared" si="46"/>
        <v>/* 86 */   [ac("", "cp0","")],</v>
      </c>
      <c r="B357" s="9">
        <f t="shared" si="45"/>
        <v>86</v>
      </c>
      <c r="D357" s="39" t="str">
        <f t="shared" si="44"/>
        <v/>
      </c>
      <c r="E357" s="40" t="s">
        <v>52</v>
      </c>
      <c r="F357" s="48" t="str">
        <f>IF(E250="","",E250)</f>
        <v/>
      </c>
      <c r="G357" s="49" t="s">
        <v>53</v>
      </c>
      <c r="H357" s="48" t="str">
        <f t="shared" si="28"/>
        <v/>
      </c>
      <c r="I357" s="49" t="s">
        <v>54</v>
      </c>
      <c r="J357" s="48" t="str">
        <f>IF(F250="","",F250)</f>
        <v/>
      </c>
      <c r="K357" s="40" t="str">
        <f t="shared" si="29"/>
        <v/>
      </c>
      <c r="L357" s="50" t="str">
        <f>IF(G250="","",G250)</f>
        <v/>
      </c>
      <c r="M357" s="51" t="str">
        <f t="shared" si="30"/>
        <v/>
      </c>
      <c r="N357" s="52" t="str">
        <f t="shared" si="31"/>
        <v/>
      </c>
      <c r="O357" s="50" t="str">
        <f t="shared" si="32"/>
        <v/>
      </c>
      <c r="P357" s="53" t="str">
        <f t="shared" si="33"/>
        <v/>
      </c>
      <c r="Q357" s="54" t="str">
        <f>IF(H250="","",H250)</f>
        <v/>
      </c>
      <c r="R357" s="40" t="str">
        <f t="shared" si="34"/>
        <v/>
      </c>
      <c r="S357" s="48" t="str">
        <f>IF(I250="","",I250)</f>
        <v/>
      </c>
      <c r="T357" s="48" t="str">
        <f t="shared" si="35"/>
        <v/>
      </c>
      <c r="U357" s="48" t="str">
        <f t="shared" si="36"/>
        <v/>
      </c>
      <c r="V357" s="48" t="str">
        <f t="shared" si="37"/>
        <v/>
      </c>
      <c r="W357" s="48" t="str">
        <f t="shared" si="38"/>
        <v/>
      </c>
      <c r="X357" s="48" t="str">
        <f>IF(J250="","",J250)</f>
        <v/>
      </c>
      <c r="Y357" s="40" t="str">
        <f t="shared" si="39"/>
        <v/>
      </c>
      <c r="Z357" s="54" t="str">
        <f>IF(K250="","",K250)</f>
        <v/>
      </c>
      <c r="AA357" s="54" t="str">
        <f t="shared" si="40"/>
        <v/>
      </c>
      <c r="AB357" s="54" t="str">
        <f t="shared" si="41"/>
        <v/>
      </c>
      <c r="AC357" s="54" t="str">
        <f t="shared" si="42"/>
        <v/>
      </c>
      <c r="AD357" s="54" t="str">
        <f t="shared" si="43"/>
        <v/>
      </c>
      <c r="AE357" s="54" t="str">
        <f>IF(L250="","",L250)</f>
        <v/>
      </c>
      <c r="AF357" s="40" t="str">
        <f>IF(Z357&lt;&gt;"",IF(AG186="",""")],","), ac("),"")</f>
        <v/>
      </c>
    </row>
    <row r="358" spans="1:32" s="9" customFormat="1" ht="24.75" hidden="1" x14ac:dyDescent="0.4">
      <c r="A358" s="9" t="str">
        <f t="shared" si="46"/>
        <v>/* 87 */   [ac("", "cp0","")],</v>
      </c>
      <c r="B358" s="9">
        <f t="shared" si="45"/>
        <v>87</v>
      </c>
      <c r="D358" s="39" t="str">
        <f t="shared" si="44"/>
        <v/>
      </c>
      <c r="E358" s="40" t="s">
        <v>52</v>
      </c>
      <c r="F358" s="41" t="str">
        <f>IF(E251="","",E251)</f>
        <v/>
      </c>
      <c r="G358" s="55" t="s">
        <v>53</v>
      </c>
      <c r="H358" s="41" t="str">
        <f t="shared" si="28"/>
        <v/>
      </c>
      <c r="I358" s="55" t="s">
        <v>54</v>
      </c>
      <c r="J358" s="41" t="str">
        <f>IF(F251="","",F251)</f>
        <v/>
      </c>
      <c r="K358" s="40" t="str">
        <f t="shared" si="29"/>
        <v/>
      </c>
      <c r="L358" s="43" t="str">
        <f>IF(G251="","",G251)</f>
        <v/>
      </c>
      <c r="M358" s="44" t="str">
        <f t="shared" si="30"/>
        <v/>
      </c>
      <c r="N358" s="45" t="str">
        <f t="shared" si="31"/>
        <v/>
      </c>
      <c r="O358" s="43" t="str">
        <f t="shared" si="32"/>
        <v/>
      </c>
      <c r="P358" s="46" t="str">
        <f t="shared" si="33"/>
        <v/>
      </c>
      <c r="Q358" s="47" t="str">
        <f>IF(H251="","",H251)</f>
        <v/>
      </c>
      <c r="R358" s="40" t="str">
        <f t="shared" si="34"/>
        <v/>
      </c>
      <c r="S358" s="41" t="str">
        <f>IF(I251="","",I251)</f>
        <v/>
      </c>
      <c r="T358" s="41" t="str">
        <f t="shared" si="35"/>
        <v/>
      </c>
      <c r="U358" s="41" t="str">
        <f t="shared" si="36"/>
        <v/>
      </c>
      <c r="V358" s="41" t="str">
        <f t="shared" si="37"/>
        <v/>
      </c>
      <c r="W358" s="41" t="str">
        <f t="shared" si="38"/>
        <v/>
      </c>
      <c r="X358" s="41" t="str">
        <f>IF(J251="","",J251)</f>
        <v/>
      </c>
      <c r="Y358" s="40" t="str">
        <f t="shared" si="39"/>
        <v/>
      </c>
      <c r="Z358" s="47" t="str">
        <f>IF(K251="","",K251)</f>
        <v/>
      </c>
      <c r="AA358" s="47" t="str">
        <f t="shared" si="40"/>
        <v/>
      </c>
      <c r="AB358" s="47" t="str">
        <f t="shared" si="41"/>
        <v/>
      </c>
      <c r="AC358" s="47" t="str">
        <f t="shared" si="42"/>
        <v/>
      </c>
      <c r="AD358" s="47" t="str">
        <f t="shared" si="43"/>
        <v/>
      </c>
      <c r="AE358" s="47" t="str">
        <f>IF(L251="","",L251)</f>
        <v/>
      </c>
      <c r="AF358" s="40" t="str">
        <f>IF(Z358&lt;&gt;"",IF(AG187="",""")],","), ac("),"")</f>
        <v/>
      </c>
    </row>
    <row r="359" spans="1:32" s="9" customFormat="1" ht="24.75" hidden="1" x14ac:dyDescent="0.4">
      <c r="A359" s="9" t="str">
        <f t="shared" si="46"/>
        <v>/* 88 */   [ac("", "cp0","")],</v>
      </c>
      <c r="B359" s="9">
        <f t="shared" si="45"/>
        <v>88</v>
      </c>
      <c r="D359" s="39" t="str">
        <f t="shared" si="44"/>
        <v/>
      </c>
      <c r="E359" s="40" t="s">
        <v>52</v>
      </c>
      <c r="F359" s="48" t="str">
        <f>IF(E252="","",E252)</f>
        <v/>
      </c>
      <c r="G359" s="49" t="s">
        <v>53</v>
      </c>
      <c r="H359" s="48" t="str">
        <f t="shared" si="28"/>
        <v/>
      </c>
      <c r="I359" s="49" t="s">
        <v>54</v>
      </c>
      <c r="J359" s="48" t="str">
        <f>IF(F252="","",F252)</f>
        <v/>
      </c>
      <c r="K359" s="40" t="str">
        <f t="shared" si="29"/>
        <v/>
      </c>
      <c r="L359" s="50" t="str">
        <f>IF(G252="","",G252)</f>
        <v/>
      </c>
      <c r="M359" s="51" t="str">
        <f t="shared" si="30"/>
        <v/>
      </c>
      <c r="N359" s="52" t="str">
        <f t="shared" si="31"/>
        <v/>
      </c>
      <c r="O359" s="50" t="str">
        <f t="shared" si="32"/>
        <v/>
      </c>
      <c r="P359" s="53" t="str">
        <f t="shared" si="33"/>
        <v/>
      </c>
      <c r="Q359" s="54" t="str">
        <f>IF(H252="","",H252)</f>
        <v/>
      </c>
      <c r="R359" s="40" t="str">
        <f t="shared" si="34"/>
        <v/>
      </c>
      <c r="S359" s="48" t="str">
        <f>IF(I252="","",I252)</f>
        <v/>
      </c>
      <c r="T359" s="48" t="str">
        <f t="shared" si="35"/>
        <v/>
      </c>
      <c r="U359" s="48" t="str">
        <f t="shared" si="36"/>
        <v/>
      </c>
      <c r="V359" s="48" t="str">
        <f t="shared" si="37"/>
        <v/>
      </c>
      <c r="W359" s="48" t="str">
        <f t="shared" si="38"/>
        <v/>
      </c>
      <c r="X359" s="48" t="str">
        <f>IF(J252="","",J252)</f>
        <v/>
      </c>
      <c r="Y359" s="40" t="str">
        <f t="shared" si="39"/>
        <v/>
      </c>
      <c r="Z359" s="54" t="str">
        <f>IF(K252="","",K252)</f>
        <v/>
      </c>
      <c r="AA359" s="54" t="str">
        <f t="shared" si="40"/>
        <v/>
      </c>
      <c r="AB359" s="54" t="str">
        <f t="shared" si="41"/>
        <v/>
      </c>
      <c r="AC359" s="54" t="str">
        <f t="shared" si="42"/>
        <v/>
      </c>
      <c r="AD359" s="54" t="str">
        <f t="shared" si="43"/>
        <v/>
      </c>
      <c r="AE359" s="54" t="str">
        <f>IF(L252="","",L252)</f>
        <v/>
      </c>
      <c r="AF359" s="40" t="str">
        <f>IF(Z359&lt;&gt;"",IF(AG188="",""")],","), ac("),"")</f>
        <v/>
      </c>
    </row>
    <row r="360" spans="1:32" s="9" customFormat="1" ht="24.75" hidden="1" x14ac:dyDescent="0.4">
      <c r="A360" s="9" t="str">
        <f t="shared" si="46"/>
        <v>/* 89 */   [ac("", "cp0","")],</v>
      </c>
      <c r="B360" s="9">
        <f t="shared" si="45"/>
        <v>89</v>
      </c>
      <c r="D360" s="39" t="str">
        <f t="shared" si="44"/>
        <v/>
      </c>
      <c r="E360" s="40" t="s">
        <v>52</v>
      </c>
      <c r="F360" s="41" t="str">
        <f>IF(E253="","",E253)</f>
        <v/>
      </c>
      <c r="G360" s="55" t="s">
        <v>53</v>
      </c>
      <c r="H360" s="41" t="str">
        <f t="shared" si="28"/>
        <v/>
      </c>
      <c r="I360" s="55" t="s">
        <v>54</v>
      </c>
      <c r="J360" s="41" t="str">
        <f>IF(F253="","",F253)</f>
        <v/>
      </c>
      <c r="K360" s="40" t="str">
        <f t="shared" si="29"/>
        <v/>
      </c>
      <c r="L360" s="43" t="str">
        <f>IF(G253="","",G253)</f>
        <v/>
      </c>
      <c r="M360" s="44" t="str">
        <f t="shared" si="30"/>
        <v/>
      </c>
      <c r="N360" s="45" t="str">
        <f t="shared" si="31"/>
        <v/>
      </c>
      <c r="O360" s="43" t="str">
        <f t="shared" si="32"/>
        <v/>
      </c>
      <c r="P360" s="46" t="str">
        <f t="shared" si="33"/>
        <v/>
      </c>
      <c r="Q360" s="47" t="str">
        <f>IF(H253="","",H253)</f>
        <v/>
      </c>
      <c r="R360" s="40" t="str">
        <f t="shared" si="34"/>
        <v/>
      </c>
      <c r="S360" s="41" t="str">
        <f>IF(I253="","",I253)</f>
        <v/>
      </c>
      <c r="T360" s="41" t="str">
        <f t="shared" si="35"/>
        <v/>
      </c>
      <c r="U360" s="41" t="str">
        <f t="shared" si="36"/>
        <v/>
      </c>
      <c r="V360" s="41" t="str">
        <f t="shared" si="37"/>
        <v/>
      </c>
      <c r="W360" s="41" t="str">
        <f t="shared" si="38"/>
        <v/>
      </c>
      <c r="X360" s="41" t="str">
        <f>IF(J253="","",J253)</f>
        <v/>
      </c>
      <c r="Y360" s="40" t="str">
        <f t="shared" si="39"/>
        <v/>
      </c>
      <c r="Z360" s="47" t="str">
        <f>IF(K253="","",K253)</f>
        <v/>
      </c>
      <c r="AA360" s="47" t="str">
        <f t="shared" si="40"/>
        <v/>
      </c>
      <c r="AB360" s="47" t="str">
        <f t="shared" si="41"/>
        <v/>
      </c>
      <c r="AC360" s="47" t="str">
        <f t="shared" si="42"/>
        <v/>
      </c>
      <c r="AD360" s="47" t="str">
        <f t="shared" si="43"/>
        <v/>
      </c>
      <c r="AE360" s="47" t="str">
        <f>IF(L253="","",L253)</f>
        <v/>
      </c>
      <c r="AF360" s="40" t="str">
        <f>IF(Z360&lt;&gt;"",IF(AG189="",""")],","), ac("),"")</f>
        <v/>
      </c>
    </row>
    <row r="361" spans="1:32" s="9" customFormat="1" ht="24.75" hidden="1" x14ac:dyDescent="0.4">
      <c r="A361" s="9" t="str">
        <f t="shared" si="46"/>
        <v>/* 90 */   [ac("", "cp0","")],</v>
      </c>
      <c r="B361" s="9">
        <f t="shared" si="45"/>
        <v>90</v>
      </c>
      <c r="D361" s="39" t="str">
        <f t="shared" si="44"/>
        <v/>
      </c>
      <c r="E361" s="40" t="s">
        <v>52</v>
      </c>
      <c r="F361" s="48" t="str">
        <f>IF(E254="","",E254)</f>
        <v/>
      </c>
      <c r="G361" s="49" t="s">
        <v>53</v>
      </c>
      <c r="H361" s="48" t="str">
        <f t="shared" si="28"/>
        <v/>
      </c>
      <c r="I361" s="49" t="s">
        <v>54</v>
      </c>
      <c r="J361" s="48" t="str">
        <f>IF(F254="","",F254)</f>
        <v/>
      </c>
      <c r="K361" s="40" t="str">
        <f t="shared" si="29"/>
        <v/>
      </c>
      <c r="L361" s="50" t="str">
        <f>IF(G254="","",G254)</f>
        <v/>
      </c>
      <c r="M361" s="51" t="str">
        <f t="shared" si="30"/>
        <v/>
      </c>
      <c r="N361" s="52" t="str">
        <f t="shared" si="31"/>
        <v/>
      </c>
      <c r="O361" s="50" t="str">
        <f t="shared" si="32"/>
        <v/>
      </c>
      <c r="P361" s="53" t="str">
        <f t="shared" si="33"/>
        <v/>
      </c>
      <c r="Q361" s="54" t="str">
        <f>IF(H254="","",H254)</f>
        <v/>
      </c>
      <c r="R361" s="40" t="str">
        <f t="shared" si="34"/>
        <v/>
      </c>
      <c r="S361" s="48" t="str">
        <f>IF(I254="","",I254)</f>
        <v/>
      </c>
      <c r="T361" s="48" t="str">
        <f t="shared" si="35"/>
        <v/>
      </c>
      <c r="U361" s="48" t="str">
        <f t="shared" si="36"/>
        <v/>
      </c>
      <c r="V361" s="48" t="str">
        <f t="shared" si="37"/>
        <v/>
      </c>
      <c r="W361" s="48" t="str">
        <f t="shared" si="38"/>
        <v/>
      </c>
      <c r="X361" s="48" t="str">
        <f>IF(J254="","",J254)</f>
        <v/>
      </c>
      <c r="Y361" s="40" t="str">
        <f t="shared" si="39"/>
        <v/>
      </c>
      <c r="Z361" s="54" t="str">
        <f>IF(K254="","",K254)</f>
        <v/>
      </c>
      <c r="AA361" s="54" t="str">
        <f t="shared" si="40"/>
        <v/>
      </c>
      <c r="AB361" s="54" t="str">
        <f t="shared" si="41"/>
        <v/>
      </c>
      <c r="AC361" s="54" t="str">
        <f t="shared" si="42"/>
        <v/>
      </c>
      <c r="AD361" s="54" t="str">
        <f t="shared" si="43"/>
        <v/>
      </c>
      <c r="AE361" s="54" t="str">
        <f>IF(L254="","",L254)</f>
        <v/>
      </c>
      <c r="AF361" s="40" t="str">
        <f>IF(Z361&lt;&gt;"",IF(AG190="",""")],","), ac("),"")</f>
        <v/>
      </c>
    </row>
    <row r="362" spans="1:32" s="9" customFormat="1" ht="24.75" hidden="1" x14ac:dyDescent="0.4">
      <c r="A362" s="9" t="str">
        <f t="shared" si="46"/>
        <v>/* 91 */   [ac("", "cp0","")],</v>
      </c>
      <c r="B362" s="9">
        <f t="shared" si="45"/>
        <v>91</v>
      </c>
      <c r="D362" s="39" t="str">
        <f t="shared" si="44"/>
        <v/>
      </c>
      <c r="E362" s="40" t="s">
        <v>52</v>
      </c>
      <c r="F362" s="41" t="str">
        <f>IF(E255="","",E255)</f>
        <v/>
      </c>
      <c r="G362" s="55" t="s">
        <v>53</v>
      </c>
      <c r="H362" s="41" t="str">
        <f t="shared" si="28"/>
        <v/>
      </c>
      <c r="I362" s="55" t="s">
        <v>54</v>
      </c>
      <c r="J362" s="41" t="str">
        <f>IF(F255="","",F255)</f>
        <v/>
      </c>
      <c r="K362" s="40" t="str">
        <f t="shared" si="29"/>
        <v/>
      </c>
      <c r="L362" s="43" t="str">
        <f>IF(G255="","",G255)</f>
        <v/>
      </c>
      <c r="M362" s="44" t="str">
        <f t="shared" si="30"/>
        <v/>
      </c>
      <c r="N362" s="45" t="str">
        <f t="shared" si="31"/>
        <v/>
      </c>
      <c r="O362" s="43" t="str">
        <f t="shared" si="32"/>
        <v/>
      </c>
      <c r="P362" s="46" t="str">
        <f t="shared" si="33"/>
        <v/>
      </c>
      <c r="Q362" s="47" t="str">
        <f>IF(H255="","",H255)</f>
        <v/>
      </c>
      <c r="R362" s="40" t="str">
        <f t="shared" si="34"/>
        <v/>
      </c>
      <c r="S362" s="41" t="str">
        <f>IF(I255="","",I255)</f>
        <v/>
      </c>
      <c r="T362" s="41" t="str">
        <f t="shared" si="35"/>
        <v/>
      </c>
      <c r="U362" s="41" t="str">
        <f t="shared" si="36"/>
        <v/>
      </c>
      <c r="V362" s="41" t="str">
        <f t="shared" si="37"/>
        <v/>
      </c>
      <c r="W362" s="41" t="str">
        <f t="shared" si="38"/>
        <v/>
      </c>
      <c r="X362" s="41" t="str">
        <f>IF(J255="","",J255)</f>
        <v/>
      </c>
      <c r="Y362" s="40" t="str">
        <f t="shared" si="39"/>
        <v/>
      </c>
      <c r="Z362" s="47" t="str">
        <f>IF(K255="","",K255)</f>
        <v/>
      </c>
      <c r="AA362" s="47" t="str">
        <f t="shared" si="40"/>
        <v/>
      </c>
      <c r="AB362" s="47" t="str">
        <f t="shared" si="41"/>
        <v/>
      </c>
      <c r="AC362" s="47" t="str">
        <f t="shared" si="42"/>
        <v/>
      </c>
      <c r="AD362" s="47" t="str">
        <f t="shared" si="43"/>
        <v/>
      </c>
      <c r="AE362" s="47" t="str">
        <f>IF(L255="","",L255)</f>
        <v/>
      </c>
      <c r="AF362" s="40" t="str">
        <f>IF(Z362&lt;&gt;"",IF(AG191="",""")],","), ac("),"")</f>
        <v/>
      </c>
    </row>
    <row r="363" spans="1:32" s="9" customFormat="1" ht="24.75" hidden="1" x14ac:dyDescent="0.4">
      <c r="A363" s="9" t="str">
        <f t="shared" si="46"/>
        <v>/* 92 */   [ac("", "cp0","")],</v>
      </c>
      <c r="B363" s="9">
        <f t="shared" si="45"/>
        <v>92</v>
      </c>
      <c r="D363" s="39" t="str">
        <f t="shared" si="44"/>
        <v/>
      </c>
      <c r="E363" s="40" t="s">
        <v>52</v>
      </c>
      <c r="F363" s="48" t="str">
        <f>IF(E256="","",E256)</f>
        <v/>
      </c>
      <c r="G363" s="49" t="s">
        <v>53</v>
      </c>
      <c r="H363" s="48" t="str">
        <f t="shared" si="28"/>
        <v/>
      </c>
      <c r="I363" s="49" t="s">
        <v>54</v>
      </c>
      <c r="J363" s="48" t="str">
        <f>IF(F256="","",F256)</f>
        <v/>
      </c>
      <c r="K363" s="40" t="str">
        <f t="shared" si="29"/>
        <v/>
      </c>
      <c r="L363" s="50" t="str">
        <f>IF(G256="","",G256)</f>
        <v/>
      </c>
      <c r="M363" s="51" t="str">
        <f t="shared" si="30"/>
        <v/>
      </c>
      <c r="N363" s="52" t="str">
        <f t="shared" si="31"/>
        <v/>
      </c>
      <c r="O363" s="50" t="str">
        <f t="shared" si="32"/>
        <v/>
      </c>
      <c r="P363" s="53" t="str">
        <f t="shared" si="33"/>
        <v/>
      </c>
      <c r="Q363" s="54" t="str">
        <f>IF(H256="","",H256)</f>
        <v/>
      </c>
      <c r="R363" s="40" t="str">
        <f t="shared" si="34"/>
        <v/>
      </c>
      <c r="S363" s="48" t="str">
        <f>IF(I256="","",I256)</f>
        <v/>
      </c>
      <c r="T363" s="48" t="str">
        <f t="shared" si="35"/>
        <v/>
      </c>
      <c r="U363" s="48" t="str">
        <f t="shared" si="36"/>
        <v/>
      </c>
      <c r="V363" s="48" t="str">
        <f t="shared" si="37"/>
        <v/>
      </c>
      <c r="W363" s="48" t="str">
        <f t="shared" si="38"/>
        <v/>
      </c>
      <c r="X363" s="48" t="str">
        <f>IF(J256="","",J256)</f>
        <v/>
      </c>
      <c r="Y363" s="40" t="str">
        <f t="shared" si="39"/>
        <v/>
      </c>
      <c r="Z363" s="54" t="str">
        <f>IF(K256="","",K256)</f>
        <v/>
      </c>
      <c r="AA363" s="54" t="str">
        <f t="shared" si="40"/>
        <v/>
      </c>
      <c r="AB363" s="54" t="str">
        <f t="shared" si="41"/>
        <v/>
      </c>
      <c r="AC363" s="54" t="str">
        <f t="shared" si="42"/>
        <v/>
      </c>
      <c r="AD363" s="54" t="str">
        <f t="shared" si="43"/>
        <v/>
      </c>
      <c r="AE363" s="54" t="str">
        <f>IF(L256="","",L256)</f>
        <v/>
      </c>
      <c r="AF363" s="40" t="str">
        <f>IF(Z363&lt;&gt;"",IF(AG192="",""")],","), ac("),"")</f>
        <v/>
      </c>
    </row>
    <row r="364" spans="1:32" s="9" customFormat="1" ht="24.75" hidden="1" x14ac:dyDescent="0.4">
      <c r="A364" s="9" t="str">
        <f t="shared" si="46"/>
        <v>/* 93 */   [ac("", "cp0","")],</v>
      </c>
      <c r="B364" s="9">
        <f t="shared" si="45"/>
        <v>93</v>
      </c>
      <c r="D364" s="39" t="str">
        <f t="shared" si="44"/>
        <v/>
      </c>
      <c r="E364" s="40" t="s">
        <v>52</v>
      </c>
      <c r="F364" s="41" t="str">
        <f>IF(E257="","",E257)</f>
        <v/>
      </c>
      <c r="G364" s="55" t="s">
        <v>53</v>
      </c>
      <c r="H364" s="41" t="str">
        <f t="shared" si="28"/>
        <v/>
      </c>
      <c r="I364" s="55" t="s">
        <v>54</v>
      </c>
      <c r="J364" s="41" t="str">
        <f>IF(F257="","",F257)</f>
        <v/>
      </c>
      <c r="K364" s="40" t="str">
        <f t="shared" si="29"/>
        <v/>
      </c>
      <c r="L364" s="43" t="str">
        <f>IF(G257="","",G257)</f>
        <v/>
      </c>
      <c r="M364" s="44" t="str">
        <f t="shared" si="30"/>
        <v/>
      </c>
      <c r="N364" s="45" t="str">
        <f t="shared" si="31"/>
        <v/>
      </c>
      <c r="O364" s="43" t="str">
        <f t="shared" si="32"/>
        <v/>
      </c>
      <c r="P364" s="46" t="str">
        <f t="shared" si="33"/>
        <v/>
      </c>
      <c r="Q364" s="47" t="str">
        <f>IF(H257="","",H257)</f>
        <v/>
      </c>
      <c r="R364" s="40" t="str">
        <f t="shared" si="34"/>
        <v/>
      </c>
      <c r="S364" s="41" t="str">
        <f>IF(I257="","",I257)</f>
        <v/>
      </c>
      <c r="T364" s="41" t="str">
        <f t="shared" si="35"/>
        <v/>
      </c>
      <c r="U364" s="41" t="str">
        <f t="shared" si="36"/>
        <v/>
      </c>
      <c r="V364" s="41" t="str">
        <f t="shared" si="37"/>
        <v/>
      </c>
      <c r="W364" s="41" t="str">
        <f t="shared" si="38"/>
        <v/>
      </c>
      <c r="X364" s="41" t="str">
        <f>IF(J257="","",J257)</f>
        <v/>
      </c>
      <c r="Y364" s="40" t="str">
        <f t="shared" si="39"/>
        <v/>
      </c>
      <c r="Z364" s="47" t="str">
        <f>IF(K257="","",K257)</f>
        <v/>
      </c>
      <c r="AA364" s="47" t="str">
        <f t="shared" si="40"/>
        <v/>
      </c>
      <c r="AB364" s="47" t="str">
        <f t="shared" si="41"/>
        <v/>
      </c>
      <c r="AC364" s="47" t="str">
        <f t="shared" si="42"/>
        <v/>
      </c>
      <c r="AD364" s="47" t="str">
        <f t="shared" si="43"/>
        <v/>
      </c>
      <c r="AE364" s="47" t="str">
        <f>IF(L257="","",L257)</f>
        <v/>
      </c>
      <c r="AF364" s="40" t="str">
        <f>IF(Z364&lt;&gt;"",IF(AG193="",""")],","), ac("),"")</f>
        <v/>
      </c>
    </row>
    <row r="365" spans="1:32" s="9" customFormat="1" ht="24.75" hidden="1" x14ac:dyDescent="0.4">
      <c r="A365" s="9" t="str">
        <f t="shared" si="46"/>
        <v>/* 94 */   [ac("", "cp0","")],</v>
      </c>
      <c r="B365" s="9">
        <f t="shared" si="45"/>
        <v>94</v>
      </c>
      <c r="D365" s="39" t="str">
        <f t="shared" si="44"/>
        <v/>
      </c>
      <c r="E365" s="40" t="s">
        <v>52</v>
      </c>
      <c r="F365" s="48" t="str">
        <f>IF(E258="","",E258)</f>
        <v/>
      </c>
      <c r="G365" s="49" t="s">
        <v>53</v>
      </c>
      <c r="H365" s="48" t="str">
        <f t="shared" si="28"/>
        <v/>
      </c>
      <c r="I365" s="49" t="s">
        <v>54</v>
      </c>
      <c r="J365" s="48" t="str">
        <f>IF(F258="","",F258)</f>
        <v/>
      </c>
      <c r="K365" s="40" t="str">
        <f t="shared" si="29"/>
        <v/>
      </c>
      <c r="L365" s="50" t="str">
        <f>IF(G258="","",G258)</f>
        <v/>
      </c>
      <c r="M365" s="51" t="str">
        <f t="shared" si="30"/>
        <v/>
      </c>
      <c r="N365" s="52" t="str">
        <f t="shared" si="31"/>
        <v/>
      </c>
      <c r="O365" s="50" t="str">
        <f t="shared" si="32"/>
        <v/>
      </c>
      <c r="P365" s="53" t="str">
        <f t="shared" si="33"/>
        <v/>
      </c>
      <c r="Q365" s="54" t="str">
        <f>IF(H258="","",H258)</f>
        <v/>
      </c>
      <c r="R365" s="40" t="str">
        <f t="shared" si="34"/>
        <v/>
      </c>
      <c r="S365" s="48" t="str">
        <f>IF(I258="","",I258)</f>
        <v/>
      </c>
      <c r="T365" s="48" t="str">
        <f t="shared" si="35"/>
        <v/>
      </c>
      <c r="U365" s="48" t="str">
        <f t="shared" si="36"/>
        <v/>
      </c>
      <c r="V365" s="48" t="str">
        <f t="shared" si="37"/>
        <v/>
      </c>
      <c r="W365" s="48" t="str">
        <f t="shared" si="38"/>
        <v/>
      </c>
      <c r="X365" s="48" t="str">
        <f>IF(J258="","",J258)</f>
        <v/>
      </c>
      <c r="Y365" s="40" t="str">
        <f t="shared" si="39"/>
        <v/>
      </c>
      <c r="Z365" s="54" t="str">
        <f>IF(K258="","",K258)</f>
        <v/>
      </c>
      <c r="AA365" s="54" t="str">
        <f t="shared" si="40"/>
        <v/>
      </c>
      <c r="AB365" s="54" t="str">
        <f t="shared" si="41"/>
        <v/>
      </c>
      <c r="AC365" s="54" t="str">
        <f t="shared" si="42"/>
        <v/>
      </c>
      <c r="AD365" s="54" t="str">
        <f t="shared" si="43"/>
        <v/>
      </c>
      <c r="AE365" s="54" t="str">
        <f>IF(L258="","",L258)</f>
        <v/>
      </c>
      <c r="AF365" s="40" t="str">
        <f>IF(Z365&lt;&gt;"",IF(AG194="",""")],","), ac("),"")</f>
        <v/>
      </c>
    </row>
    <row r="366" spans="1:32" s="9" customFormat="1" ht="24.75" hidden="1" x14ac:dyDescent="0.4">
      <c r="A366" s="9" t="str">
        <f t="shared" si="46"/>
        <v>/* 95 */   [ac("", "cp0","")],</v>
      </c>
      <c r="B366" s="9">
        <f t="shared" si="45"/>
        <v>95</v>
      </c>
      <c r="D366" s="39" t="str">
        <f t="shared" si="44"/>
        <v/>
      </c>
      <c r="E366" s="40" t="s">
        <v>52</v>
      </c>
      <c r="F366" s="41" t="str">
        <f>IF(E259="","",E259)</f>
        <v/>
      </c>
      <c r="G366" s="55" t="s">
        <v>53</v>
      </c>
      <c r="H366" s="41" t="str">
        <f t="shared" si="28"/>
        <v/>
      </c>
      <c r="I366" s="55" t="s">
        <v>54</v>
      </c>
      <c r="J366" s="41" t="str">
        <f>IF(F259="","",F259)</f>
        <v/>
      </c>
      <c r="K366" s="40" t="str">
        <f t="shared" si="29"/>
        <v/>
      </c>
      <c r="L366" s="43" t="str">
        <f>IF(G259="","",G259)</f>
        <v/>
      </c>
      <c r="M366" s="44" t="str">
        <f t="shared" si="30"/>
        <v/>
      </c>
      <c r="N366" s="45" t="str">
        <f t="shared" si="31"/>
        <v/>
      </c>
      <c r="O366" s="43" t="str">
        <f t="shared" si="32"/>
        <v/>
      </c>
      <c r="P366" s="46" t="str">
        <f t="shared" si="33"/>
        <v/>
      </c>
      <c r="Q366" s="47" t="str">
        <f>IF(H259="","",H259)</f>
        <v/>
      </c>
      <c r="R366" s="40" t="str">
        <f t="shared" si="34"/>
        <v/>
      </c>
      <c r="S366" s="41" t="str">
        <f>IF(I259="","",I259)</f>
        <v/>
      </c>
      <c r="T366" s="41" t="str">
        <f t="shared" si="35"/>
        <v/>
      </c>
      <c r="U366" s="41" t="str">
        <f t="shared" si="36"/>
        <v/>
      </c>
      <c r="V366" s="41" t="str">
        <f t="shared" si="37"/>
        <v/>
      </c>
      <c r="W366" s="41" t="str">
        <f t="shared" si="38"/>
        <v/>
      </c>
      <c r="X366" s="41" t="str">
        <f>IF(J259="","",J259)</f>
        <v/>
      </c>
      <c r="Y366" s="40" t="str">
        <f t="shared" si="39"/>
        <v/>
      </c>
      <c r="Z366" s="47" t="str">
        <f>IF(K259="","",K259)</f>
        <v/>
      </c>
      <c r="AA366" s="47" t="str">
        <f t="shared" si="40"/>
        <v/>
      </c>
      <c r="AB366" s="47" t="str">
        <f t="shared" si="41"/>
        <v/>
      </c>
      <c r="AC366" s="47" t="str">
        <f t="shared" si="42"/>
        <v/>
      </c>
      <c r="AD366" s="47" t="str">
        <f t="shared" si="43"/>
        <v/>
      </c>
      <c r="AE366" s="47" t="str">
        <f>IF(L259="","",L259)</f>
        <v/>
      </c>
      <c r="AF366" s="40" t="str">
        <f>IF(Z366&lt;&gt;"",IF(AG195="",""")],","), ac("),"")</f>
        <v/>
      </c>
    </row>
    <row r="367" spans="1:32" s="9" customFormat="1" ht="24.75" hidden="1" x14ac:dyDescent="0.4">
      <c r="A367" s="9" t="str">
        <f t="shared" si="46"/>
        <v>/* 96 */   [ac("", "cp0","")],</v>
      </c>
      <c r="B367" s="9">
        <f t="shared" si="45"/>
        <v>96</v>
      </c>
      <c r="D367" s="39" t="str">
        <f t="shared" si="44"/>
        <v/>
      </c>
      <c r="E367" s="40" t="s">
        <v>52</v>
      </c>
      <c r="F367" s="48" t="str">
        <f>IF(E260="","",E260)</f>
        <v/>
      </c>
      <c r="G367" s="49" t="s">
        <v>53</v>
      </c>
      <c r="H367" s="48" t="str">
        <f t="shared" si="28"/>
        <v/>
      </c>
      <c r="I367" s="49" t="s">
        <v>54</v>
      </c>
      <c r="J367" s="48" t="str">
        <f>IF(F260="","",F260)</f>
        <v/>
      </c>
      <c r="K367" s="40" t="str">
        <f t="shared" si="29"/>
        <v/>
      </c>
      <c r="L367" s="50" t="str">
        <f>IF(G260="","",G260)</f>
        <v/>
      </c>
      <c r="M367" s="51" t="str">
        <f t="shared" si="30"/>
        <v/>
      </c>
      <c r="N367" s="52" t="str">
        <f t="shared" si="31"/>
        <v/>
      </c>
      <c r="O367" s="50" t="str">
        <f t="shared" si="32"/>
        <v/>
      </c>
      <c r="P367" s="53" t="str">
        <f t="shared" si="33"/>
        <v/>
      </c>
      <c r="Q367" s="54" t="str">
        <f>IF(H260="","",H260)</f>
        <v/>
      </c>
      <c r="R367" s="40" t="str">
        <f t="shared" si="34"/>
        <v/>
      </c>
      <c r="S367" s="48" t="str">
        <f>IF(I260="","",I260)</f>
        <v/>
      </c>
      <c r="T367" s="48" t="str">
        <f t="shared" si="35"/>
        <v/>
      </c>
      <c r="U367" s="48" t="str">
        <f t="shared" si="36"/>
        <v/>
      </c>
      <c r="V367" s="48" t="str">
        <f t="shared" si="37"/>
        <v/>
      </c>
      <c r="W367" s="48" t="str">
        <f t="shared" si="38"/>
        <v/>
      </c>
      <c r="X367" s="48" t="str">
        <f>IF(J260="","",J260)</f>
        <v/>
      </c>
      <c r="Y367" s="40" t="str">
        <f t="shared" si="39"/>
        <v/>
      </c>
      <c r="Z367" s="54" t="str">
        <f>IF(K260="","",K260)</f>
        <v/>
      </c>
      <c r="AA367" s="54" t="str">
        <f t="shared" si="40"/>
        <v/>
      </c>
      <c r="AB367" s="54" t="str">
        <f t="shared" si="41"/>
        <v/>
      </c>
      <c r="AC367" s="54" t="str">
        <f t="shared" si="42"/>
        <v/>
      </c>
      <c r="AD367" s="54" t="str">
        <f t="shared" si="43"/>
        <v/>
      </c>
      <c r="AE367" s="54" t="str">
        <f>IF(L260="","",L260)</f>
        <v/>
      </c>
      <c r="AF367" s="40" t="str">
        <f>IF(Z367&lt;&gt;"",IF(AG196="",""")],","), ac("),"")</f>
        <v/>
      </c>
    </row>
    <row r="368" spans="1:32" s="9" customFormat="1" ht="24.75" hidden="1" x14ac:dyDescent="0.4">
      <c r="A368" s="9" t="str">
        <f t="shared" si="46"/>
        <v>/* 97 */   [ac("", "cp0","")],</v>
      </c>
      <c r="B368" s="9">
        <f t="shared" si="45"/>
        <v>97</v>
      </c>
      <c r="D368" s="39" t="str">
        <f t="shared" si="44"/>
        <v/>
      </c>
      <c r="E368" s="40" t="s">
        <v>52</v>
      </c>
      <c r="F368" s="41" t="str">
        <f>IF(E261="","",E261)</f>
        <v/>
      </c>
      <c r="G368" s="55" t="s">
        <v>53</v>
      </c>
      <c r="H368" s="41" t="str">
        <f t="shared" si="28"/>
        <v/>
      </c>
      <c r="I368" s="55" t="s">
        <v>54</v>
      </c>
      <c r="J368" s="41" t="str">
        <f>IF(F261="","",F261)</f>
        <v/>
      </c>
      <c r="K368" s="40" t="str">
        <f t="shared" si="29"/>
        <v/>
      </c>
      <c r="L368" s="43" t="str">
        <f>IF(G261="","",G261)</f>
        <v/>
      </c>
      <c r="M368" s="44" t="str">
        <f t="shared" si="30"/>
        <v/>
      </c>
      <c r="N368" s="45" t="str">
        <f t="shared" si="31"/>
        <v/>
      </c>
      <c r="O368" s="43" t="str">
        <f t="shared" si="32"/>
        <v/>
      </c>
      <c r="P368" s="46" t="str">
        <f t="shared" si="33"/>
        <v/>
      </c>
      <c r="Q368" s="47" t="str">
        <f>IF(H261="","",H261)</f>
        <v/>
      </c>
      <c r="R368" s="40" t="str">
        <f t="shared" si="34"/>
        <v/>
      </c>
      <c r="S368" s="41" t="str">
        <f>IF(I261="","",I261)</f>
        <v/>
      </c>
      <c r="T368" s="41" t="str">
        <f t="shared" si="35"/>
        <v/>
      </c>
      <c r="U368" s="41" t="str">
        <f t="shared" si="36"/>
        <v/>
      </c>
      <c r="V368" s="41" t="str">
        <f t="shared" si="37"/>
        <v/>
      </c>
      <c r="W368" s="41" t="str">
        <f t="shared" si="38"/>
        <v/>
      </c>
      <c r="X368" s="41" t="str">
        <f>IF(J261="","",J261)</f>
        <v/>
      </c>
      <c r="Y368" s="40" t="str">
        <f t="shared" si="39"/>
        <v/>
      </c>
      <c r="Z368" s="47" t="str">
        <f>IF(K261="","",K261)</f>
        <v/>
      </c>
      <c r="AA368" s="47" t="str">
        <f t="shared" si="40"/>
        <v/>
      </c>
      <c r="AB368" s="47" t="str">
        <f t="shared" si="41"/>
        <v/>
      </c>
      <c r="AC368" s="47" t="str">
        <f t="shared" si="42"/>
        <v/>
      </c>
      <c r="AD368" s="47" t="str">
        <f t="shared" si="43"/>
        <v/>
      </c>
      <c r="AE368" s="47" t="str">
        <f>IF(L261="","",L261)</f>
        <v/>
      </c>
      <c r="AF368" s="40" t="str">
        <f>IF(Z368&lt;&gt;"",IF(AG197="",""")],","), ac("),"")</f>
        <v/>
      </c>
    </row>
    <row r="369" spans="1:32" s="9" customFormat="1" ht="24.75" hidden="1" x14ac:dyDescent="0.4">
      <c r="A369" s="9" t="str">
        <f t="shared" si="46"/>
        <v>/* 98 */   [ac("", "cp0","")],</v>
      </c>
      <c r="B369" s="9">
        <f t="shared" si="45"/>
        <v>98</v>
      </c>
      <c r="D369" s="39" t="str">
        <f t="shared" si="44"/>
        <v/>
      </c>
      <c r="E369" s="40" t="s">
        <v>52</v>
      </c>
      <c r="F369" s="48" t="str">
        <f>IF(E262="","",E262)</f>
        <v/>
      </c>
      <c r="G369" s="49" t="s">
        <v>53</v>
      </c>
      <c r="H369" s="48" t="str">
        <f t="shared" si="28"/>
        <v/>
      </c>
      <c r="I369" s="49" t="s">
        <v>54</v>
      </c>
      <c r="J369" s="48" t="str">
        <f>IF(F262="","",F262)</f>
        <v/>
      </c>
      <c r="K369" s="40" t="str">
        <f t="shared" si="29"/>
        <v/>
      </c>
      <c r="L369" s="50" t="str">
        <f>IF(G262="","",G262)</f>
        <v/>
      </c>
      <c r="M369" s="51" t="str">
        <f t="shared" si="30"/>
        <v/>
      </c>
      <c r="N369" s="52" t="str">
        <f t="shared" si="31"/>
        <v/>
      </c>
      <c r="O369" s="50" t="str">
        <f t="shared" si="32"/>
        <v/>
      </c>
      <c r="P369" s="53" t="str">
        <f t="shared" si="33"/>
        <v/>
      </c>
      <c r="Q369" s="54" t="str">
        <f>IF(H262="","",H262)</f>
        <v/>
      </c>
      <c r="R369" s="40" t="str">
        <f t="shared" si="34"/>
        <v/>
      </c>
      <c r="S369" s="48" t="str">
        <f>IF(I262="","",I262)</f>
        <v/>
      </c>
      <c r="T369" s="48" t="str">
        <f t="shared" si="35"/>
        <v/>
      </c>
      <c r="U369" s="48" t="str">
        <f t="shared" si="36"/>
        <v/>
      </c>
      <c r="V369" s="48" t="str">
        <f t="shared" si="37"/>
        <v/>
      </c>
      <c r="W369" s="48" t="str">
        <f t="shared" si="38"/>
        <v/>
      </c>
      <c r="X369" s="48" t="str">
        <f>IF(J262="","",J262)</f>
        <v/>
      </c>
      <c r="Y369" s="40" t="str">
        <f t="shared" si="39"/>
        <v/>
      </c>
      <c r="Z369" s="54" t="str">
        <f>IF(K262="","",K262)</f>
        <v/>
      </c>
      <c r="AA369" s="54" t="str">
        <f t="shared" si="40"/>
        <v/>
      </c>
      <c r="AB369" s="54" t="str">
        <f t="shared" si="41"/>
        <v/>
      </c>
      <c r="AC369" s="54" t="str">
        <f t="shared" si="42"/>
        <v/>
      </c>
      <c r="AD369" s="54" t="str">
        <f t="shared" si="43"/>
        <v/>
      </c>
      <c r="AE369" s="54" t="str">
        <f>IF(L262="","",L262)</f>
        <v/>
      </c>
      <c r="AF369" s="40" t="str">
        <f>IF(Z369&lt;&gt;"",IF(AG198="",""")],","), ac("),"")</f>
        <v/>
      </c>
    </row>
    <row r="370" spans="1:32" s="9" customFormat="1" ht="24.75" hidden="1" x14ac:dyDescent="0.4">
      <c r="A370" s="9" t="str">
        <f t="shared" si="46"/>
        <v>/* 99 */   [ac("", "cp0","")],</v>
      </c>
      <c r="B370" s="9">
        <f t="shared" si="45"/>
        <v>99</v>
      </c>
      <c r="D370" s="39" t="str">
        <f t="shared" si="44"/>
        <v/>
      </c>
      <c r="E370" s="40" t="s">
        <v>52</v>
      </c>
      <c r="F370" s="41" t="str">
        <f>IF(E263="","",E263)</f>
        <v/>
      </c>
      <c r="G370" s="55" t="s">
        <v>53</v>
      </c>
      <c r="H370" s="41" t="str">
        <f t="shared" si="28"/>
        <v/>
      </c>
      <c r="I370" s="55" t="s">
        <v>54</v>
      </c>
      <c r="J370" s="41" t="str">
        <f>IF(F263="","",F263)</f>
        <v/>
      </c>
      <c r="K370" s="40" t="str">
        <f t="shared" si="29"/>
        <v/>
      </c>
      <c r="L370" s="43" t="str">
        <f>IF(G263="","",G263)</f>
        <v/>
      </c>
      <c r="M370" s="44" t="str">
        <f t="shared" si="30"/>
        <v/>
      </c>
      <c r="N370" s="45" t="str">
        <f t="shared" si="31"/>
        <v/>
      </c>
      <c r="O370" s="43" t="str">
        <f t="shared" si="32"/>
        <v/>
      </c>
      <c r="P370" s="46" t="str">
        <f t="shared" si="33"/>
        <v/>
      </c>
      <c r="Q370" s="47" t="str">
        <f>IF(H263="","",H263)</f>
        <v/>
      </c>
      <c r="R370" s="40" t="str">
        <f t="shared" si="34"/>
        <v/>
      </c>
      <c r="S370" s="41" t="str">
        <f>IF(I263="","",I263)</f>
        <v/>
      </c>
      <c r="T370" s="41" t="str">
        <f t="shared" si="35"/>
        <v/>
      </c>
      <c r="U370" s="41" t="str">
        <f t="shared" si="36"/>
        <v/>
      </c>
      <c r="V370" s="41" t="str">
        <f t="shared" si="37"/>
        <v/>
      </c>
      <c r="W370" s="41" t="str">
        <f t="shared" si="38"/>
        <v/>
      </c>
      <c r="X370" s="41" t="str">
        <f>IF(J263="","",J263)</f>
        <v/>
      </c>
      <c r="Y370" s="40" t="str">
        <f t="shared" si="39"/>
        <v/>
      </c>
      <c r="Z370" s="47" t="str">
        <f>IF(K263="","",K263)</f>
        <v/>
      </c>
      <c r="AA370" s="47" t="str">
        <f t="shared" si="40"/>
        <v/>
      </c>
      <c r="AB370" s="47" t="str">
        <f t="shared" si="41"/>
        <v/>
      </c>
      <c r="AC370" s="47" t="str">
        <f t="shared" si="42"/>
        <v/>
      </c>
      <c r="AD370" s="47" t="str">
        <f t="shared" si="43"/>
        <v/>
      </c>
      <c r="AE370" s="47" t="str">
        <f>IF(L263="","",L263)</f>
        <v/>
      </c>
      <c r="AF370" s="40" t="str">
        <f>IF(Z370&lt;&gt;"",IF(AG199="",""")],","), ac("),"")</f>
        <v/>
      </c>
    </row>
    <row r="371" spans="1:32" s="9" customFormat="1" ht="24.75" hidden="1" x14ac:dyDescent="0.4">
      <c r="A371" s="9" t="str">
        <f t="shared" si="46"/>
        <v>/* 100 */   [ac("", "cp0","")],</v>
      </c>
      <c r="B371" s="9">
        <f t="shared" si="45"/>
        <v>100</v>
      </c>
      <c r="D371" s="39" t="str">
        <f t="shared" si="44"/>
        <v/>
      </c>
      <c r="E371" s="40" t="s">
        <v>52</v>
      </c>
      <c r="F371" s="48" t="str">
        <f>IF(E264="","",E264)</f>
        <v/>
      </c>
      <c r="G371" s="49" t="s">
        <v>53</v>
      </c>
      <c r="H371" s="48" t="str">
        <f t="shared" si="28"/>
        <v/>
      </c>
      <c r="I371" s="49" t="s">
        <v>54</v>
      </c>
      <c r="J371" s="48" t="str">
        <f>IF(F264="","",F264)</f>
        <v/>
      </c>
      <c r="K371" s="40" t="str">
        <f t="shared" si="29"/>
        <v/>
      </c>
      <c r="L371" s="50" t="str">
        <f>IF(G264="","",G264)</f>
        <v/>
      </c>
      <c r="M371" s="51" t="str">
        <f t="shared" si="30"/>
        <v/>
      </c>
      <c r="N371" s="52" t="str">
        <f t="shared" si="31"/>
        <v/>
      </c>
      <c r="O371" s="50" t="str">
        <f t="shared" si="32"/>
        <v/>
      </c>
      <c r="P371" s="53" t="str">
        <f t="shared" si="33"/>
        <v/>
      </c>
      <c r="Q371" s="54" t="str">
        <f>IF(H264="","",H264)</f>
        <v/>
      </c>
      <c r="R371" s="40" t="str">
        <f t="shared" si="34"/>
        <v/>
      </c>
      <c r="S371" s="48" t="str">
        <f>IF(I264="","",I264)</f>
        <v/>
      </c>
      <c r="T371" s="48" t="str">
        <f t="shared" si="35"/>
        <v/>
      </c>
      <c r="U371" s="48" t="str">
        <f t="shared" si="36"/>
        <v/>
      </c>
      <c r="V371" s="48" t="str">
        <f t="shared" si="37"/>
        <v/>
      </c>
      <c r="W371" s="48" t="str">
        <f t="shared" si="38"/>
        <v/>
      </c>
      <c r="X371" s="48" t="str">
        <f>IF(J264="","",J264)</f>
        <v/>
      </c>
      <c r="Y371" s="40" t="str">
        <f t="shared" si="39"/>
        <v/>
      </c>
      <c r="Z371" s="54" t="str">
        <f>IF(K264="","",K264)</f>
        <v/>
      </c>
      <c r="AA371" s="54" t="str">
        <f t="shared" si="40"/>
        <v/>
      </c>
      <c r="AB371" s="54" t="str">
        <f t="shared" si="41"/>
        <v/>
      </c>
      <c r="AC371" s="54" t="str">
        <f t="shared" si="42"/>
        <v/>
      </c>
      <c r="AD371" s="54" t="str">
        <f t="shared" si="43"/>
        <v/>
      </c>
      <c r="AE371" s="54" t="str">
        <f>IF(L264="","",L264)</f>
        <v/>
      </c>
      <c r="AF371" s="40" t="str">
        <f>IF(Z371&lt;&gt;"",IF(AG200="",""")],","), ac("),"")</f>
        <v/>
      </c>
    </row>
    <row r="372" spans="1:32" s="9" customFormat="1" ht="24.75" hidden="1" x14ac:dyDescent="0.4">
      <c r="A372" s="9" t="str">
        <f t="shared" si="46"/>
        <v>/* 101 */   [ac("", "cp0","")],</v>
      </c>
      <c r="B372" s="9">
        <f t="shared" si="45"/>
        <v>101</v>
      </c>
      <c r="D372" s="39" t="str">
        <f t="shared" si="44"/>
        <v/>
      </c>
      <c r="E372" s="40" t="s">
        <v>52</v>
      </c>
      <c r="F372" s="41" t="str">
        <f>IF(E265="","",E265)</f>
        <v/>
      </c>
      <c r="G372" s="55" t="s">
        <v>53</v>
      </c>
      <c r="H372" s="41" t="str">
        <f t="shared" ref="H372" si="47">IF(F372="","","14")</f>
        <v/>
      </c>
      <c r="I372" s="55" t="s">
        <v>54</v>
      </c>
      <c r="J372" s="41" t="str">
        <f>IF(F265="","",F265)</f>
        <v/>
      </c>
      <c r="K372" s="40" t="str">
        <f t="shared" ref="K372" si="48">IF(F372&lt;&gt;"",IF(L372="",""")],","""), ac("""),"")</f>
        <v/>
      </c>
      <c r="L372" s="43" t="str">
        <f>IF(G265="","",G265)</f>
        <v/>
      </c>
      <c r="M372" s="44" t="str">
        <f t="shared" ref="M372" si="49">IF(L372="","",""",""")</f>
        <v/>
      </c>
      <c r="N372" s="45" t="str">
        <f t="shared" ref="N372" si="50">IF(L372="","","cp")</f>
        <v/>
      </c>
      <c r="O372" s="43" t="str">
        <f t="shared" ref="O372" si="51">IF(L372="","","90")</f>
        <v/>
      </c>
      <c r="P372" s="46" t="str">
        <f t="shared" ref="P372" si="52">IF(L372="","",""",""")</f>
        <v/>
      </c>
      <c r="Q372" s="47" t="str">
        <f>IF(H265="","",H265)</f>
        <v/>
      </c>
      <c r="R372" s="40" t="str">
        <f t="shared" ref="R372" si="53">IF(L372&lt;&gt;"",IF(S372="",""")],","""), ac("""),"")</f>
        <v/>
      </c>
      <c r="S372" s="41" t="str">
        <f>IF(I265="","",I265)</f>
        <v/>
      </c>
      <c r="T372" s="41" t="str">
        <f t="shared" ref="T372" si="54">IF(S372="","",""",""")</f>
        <v/>
      </c>
      <c r="U372" s="41" t="str">
        <f t="shared" ref="U372" si="55">IF(S372="","","cp")</f>
        <v/>
      </c>
      <c r="V372" s="41" t="str">
        <f t="shared" ref="V372" si="56">IF(S372="","","150")</f>
        <v/>
      </c>
      <c r="W372" s="41" t="str">
        <f t="shared" ref="W372" si="57">IF(S372="","",""",""")</f>
        <v/>
      </c>
      <c r="X372" s="41" t="str">
        <f>IF(J265="","",J265)</f>
        <v/>
      </c>
      <c r="Y372" s="40" t="str">
        <f t="shared" ref="Y372" si="58">IF(S372&lt;&gt;"",IF(Z372="",""")],","""), ac("""),"")</f>
        <v/>
      </c>
      <c r="Z372" s="47" t="str">
        <f>IF(K265="","",K265)</f>
        <v/>
      </c>
      <c r="AA372" s="47" t="str">
        <f t="shared" ref="AA372" si="59">IF(Z372="","",""",""")</f>
        <v/>
      </c>
      <c r="AB372" s="47" t="str">
        <f t="shared" ref="AB372" si="60">IF(Z372="","","cp")</f>
        <v/>
      </c>
      <c r="AC372" s="47" t="str">
        <f t="shared" ref="AC372" si="61">IF(Z372="","","250")</f>
        <v/>
      </c>
      <c r="AD372" s="47" t="str">
        <f t="shared" ref="AD372" si="62">IF(Z372="","",""",""")</f>
        <v/>
      </c>
      <c r="AE372" s="47" t="str">
        <f>IF(L265="","",L265)</f>
        <v/>
      </c>
      <c r="AF372" s="40" t="str">
        <f>IF(Z372&lt;&gt;"",IF(AG201="",""")],","), ac("),"")</f>
        <v/>
      </c>
    </row>
    <row r="373" spans="1:32" s="9" customFormat="1" x14ac:dyDescent="0.4">
      <c r="A373"/>
      <c r="C373" s="18" t="s">
        <v>55</v>
      </c>
      <c r="D373" s="56"/>
      <c r="E373"/>
      <c r="F373" s="5"/>
      <c r="G373" s="5"/>
      <c r="H373" s="5"/>
      <c r="I373" s="5"/>
      <c r="J373" s="8"/>
      <c r="K373" s="5"/>
      <c r="L373" s="5"/>
      <c r="M373"/>
      <c r="N373" s="6"/>
      <c r="O373" s="5"/>
      <c r="P373" s="7"/>
      <c r="Q373" s="8"/>
      <c r="R373" s="6"/>
      <c r="S373"/>
      <c r="T373"/>
      <c r="U373"/>
      <c r="V373"/>
      <c r="W373"/>
      <c r="X373"/>
      <c r="Y373" s="5"/>
      <c r="Z373"/>
      <c r="AA373"/>
      <c r="AB373"/>
      <c r="AC373"/>
      <c r="AD373"/>
      <c r="AE373"/>
      <c r="AF373" s="5"/>
    </row>
    <row r="374" spans="1:32" s="9" customFormat="1" x14ac:dyDescent="0.4">
      <c r="A374"/>
      <c r="C374" s="57" t="s">
        <v>13</v>
      </c>
      <c r="E374"/>
      <c r="F374" s="5"/>
      <c r="G374" s="5"/>
      <c r="H374" s="5"/>
      <c r="I374" s="5"/>
      <c r="J374" s="8"/>
      <c r="K374" s="5"/>
      <c r="L374" s="5"/>
      <c r="M374"/>
      <c r="N374" s="6"/>
      <c r="O374" s="5"/>
      <c r="P374" s="7"/>
      <c r="Q374" s="8"/>
      <c r="R374" s="6"/>
      <c r="S374"/>
      <c r="T374"/>
      <c r="U374"/>
      <c r="V374"/>
      <c r="W374"/>
      <c r="X374"/>
      <c r="Y374" s="5"/>
      <c r="Z374"/>
      <c r="AA374"/>
      <c r="AB374"/>
      <c r="AC374"/>
      <c r="AD374"/>
      <c r="AE374"/>
      <c r="AF374" s="5"/>
    </row>
    <row r="375" spans="1:32" s="9" customFormat="1" x14ac:dyDescent="0.4">
      <c r="A375"/>
      <c r="C375" s="57" t="s">
        <v>56</v>
      </c>
      <c r="E375"/>
      <c r="F375" s="5"/>
      <c r="G375" s="5"/>
      <c r="H375" s="5"/>
      <c r="I375" s="5"/>
      <c r="J375" s="8"/>
      <c r="K375" s="5"/>
      <c r="L375" s="5"/>
      <c r="M375"/>
      <c r="N375" s="6"/>
      <c r="O375" s="5"/>
      <c r="P375" s="7"/>
      <c r="Q375" s="8"/>
      <c r="R375" s="6"/>
      <c r="S375"/>
      <c r="T375"/>
      <c r="U375"/>
      <c r="V375"/>
      <c r="W375"/>
      <c r="X375"/>
      <c r="Y375" s="5"/>
      <c r="Z375"/>
      <c r="AA375"/>
      <c r="AB375"/>
      <c r="AC375"/>
      <c r="AD375"/>
      <c r="AE375"/>
      <c r="AF375" s="5"/>
    </row>
    <row r="376" spans="1:32" s="9" customFormat="1" x14ac:dyDescent="0.4">
      <c r="A376"/>
      <c r="C376" s="57" t="s">
        <v>17</v>
      </c>
      <c r="E376"/>
      <c r="F376" s="5"/>
      <c r="G376" s="5"/>
      <c r="H376" s="5"/>
      <c r="I376" s="5"/>
      <c r="J376" s="8"/>
      <c r="K376" s="5"/>
      <c r="L376" s="5"/>
      <c r="M376"/>
      <c r="N376" s="6"/>
      <c r="O376" s="5"/>
      <c r="P376" s="7"/>
      <c r="Q376" s="8"/>
      <c r="R376" s="6"/>
      <c r="S376"/>
      <c r="T376"/>
      <c r="U376"/>
      <c r="V376"/>
      <c r="W376"/>
      <c r="X376"/>
      <c r="Y376" s="5"/>
      <c r="Z376"/>
      <c r="AA376"/>
      <c r="AB376"/>
      <c r="AC376"/>
      <c r="AD376"/>
      <c r="AE376"/>
      <c r="AF376" s="5"/>
    </row>
    <row r="377" spans="1:32" s="9" customFormat="1" x14ac:dyDescent="0.4">
      <c r="A377"/>
      <c r="C377" s="18" t="s">
        <v>71</v>
      </c>
      <c r="E377" s="83" t="s">
        <v>4</v>
      </c>
      <c r="F377" s="84" t="s">
        <v>40</v>
      </c>
      <c r="G377" s="84" t="s">
        <v>57</v>
      </c>
      <c r="H377" s="84" t="s">
        <v>4</v>
      </c>
      <c r="I377" s="84" t="s">
        <v>40</v>
      </c>
      <c r="J377" s="85" t="s">
        <v>57</v>
      </c>
      <c r="K377" s="84"/>
      <c r="L377" s="84"/>
      <c r="M377" s="83"/>
      <c r="N377" s="86"/>
      <c r="O377" s="83"/>
      <c r="P377" s="87"/>
      <c r="Q377" s="83"/>
      <c r="R377" s="86"/>
      <c r="S377" s="83"/>
      <c r="T377" s="83"/>
      <c r="U377" s="83"/>
      <c r="V377" s="83"/>
      <c r="W377" s="83"/>
      <c r="X377" s="83"/>
      <c r="Y377" s="84"/>
      <c r="Z377" s="83"/>
      <c r="AA377" s="83"/>
      <c r="AB377" s="83"/>
      <c r="AC377" s="83"/>
      <c r="AD377" s="83"/>
      <c r="AE377" s="83"/>
      <c r="AF377" s="5"/>
    </row>
    <row r="378" spans="1:32" s="9" customFormat="1" ht="26.25" hidden="1" x14ac:dyDescent="0.4">
      <c r="A378" t="s">
        <v>40</v>
      </c>
      <c r="B378" s="9">
        <v>1</v>
      </c>
      <c r="C378" s="29" t="str">
        <f>IF((E378&amp;D378)="","",_xlfn.CONCAT("/* ",B378," */","        ","""",D378,"""",","))</f>
        <v/>
      </c>
      <c r="D378" s="58" t="str">
        <f>IF(N3="","",N3)</f>
        <v/>
      </c>
      <c r="E378" s="88" t="str">
        <f>IF(O3="","",O3)</f>
        <v/>
      </c>
      <c r="F378" s="88" t="str">
        <f>IF(P3="","",P3)</f>
        <v/>
      </c>
      <c r="G378" s="89" t="str">
        <f>IF(Q3="","",Q3)</f>
        <v/>
      </c>
      <c r="H378" s="89" t="str">
        <f>IF(R3="","",R3)</f>
        <v/>
      </c>
      <c r="I378" s="88" t="str">
        <f>IF(S3="","",S3)</f>
        <v/>
      </c>
      <c r="J378" s="88" t="str">
        <f>IF(T3="","",T3)</f>
        <v/>
      </c>
      <c r="K378" s="89" t="str">
        <f>IF(U3="","",U3)</f>
        <v/>
      </c>
      <c r="L378" s="89" t="str">
        <f>IF(V3="","",V3)</f>
        <v/>
      </c>
      <c r="M378" s="83"/>
      <c r="N378" s="86"/>
      <c r="O378" s="83"/>
      <c r="P378" s="83"/>
      <c r="Q378" s="83"/>
      <c r="R378" s="83"/>
      <c r="S378" s="83"/>
      <c r="T378" s="83"/>
      <c r="U378" s="83"/>
      <c r="V378" s="84"/>
      <c r="W378" s="83"/>
      <c r="X378" s="83"/>
      <c r="Y378" s="83"/>
      <c r="Z378" s="83"/>
      <c r="AA378" s="83"/>
      <c r="AB378" s="84"/>
      <c r="AC378" s="83"/>
      <c r="AD378" s="83"/>
      <c r="AE378" s="83"/>
      <c r="AF378"/>
    </row>
    <row r="379" spans="1:32" s="9" customFormat="1" ht="26.25" hidden="1" x14ac:dyDescent="0.4">
      <c r="A379"/>
      <c r="B379" s="9">
        <f>+B378+1</f>
        <v>2</v>
      </c>
      <c r="C379" s="29" t="str">
        <f>IF((E379&amp;D379)="","",_xlfn.CONCAT("/* ",B379," */","        ","""",D379,"""",","))</f>
        <v/>
      </c>
      <c r="D379" s="59" t="str">
        <f>IF(N4="","",N4)</f>
        <v/>
      </c>
      <c r="E379" s="90" t="str">
        <f>IF(O4="","",O4)</f>
        <v/>
      </c>
      <c r="F379" s="90" t="str">
        <f>IF(P4="","",P4)</f>
        <v/>
      </c>
      <c r="G379" s="91" t="str">
        <f>IF(Q4="","",Q4)</f>
        <v/>
      </c>
      <c r="H379" s="91" t="str">
        <f>IF(R4="","",R4)</f>
        <v/>
      </c>
      <c r="I379" s="90" t="str">
        <f>IF(S4="","",S4)</f>
        <v/>
      </c>
      <c r="J379" s="90" t="str">
        <f>IF(T4="","",T4)</f>
        <v/>
      </c>
      <c r="K379" s="91" t="str">
        <f>IF(U4="","",U4)</f>
        <v/>
      </c>
      <c r="L379" s="91" t="str">
        <f>IF(V4="","",V4)</f>
        <v/>
      </c>
      <c r="M379" s="83"/>
      <c r="N379" s="86"/>
      <c r="O379" s="83"/>
      <c r="P379" s="83"/>
      <c r="Q379" s="83"/>
      <c r="R379" s="83"/>
      <c r="S379" s="83"/>
      <c r="T379" s="83"/>
      <c r="U379" s="83"/>
      <c r="V379" s="84"/>
      <c r="W379" s="83"/>
      <c r="X379" s="83"/>
      <c r="Y379" s="83"/>
      <c r="Z379" s="83"/>
      <c r="AA379" s="83"/>
      <c r="AB379" s="84"/>
      <c r="AC379" s="83"/>
      <c r="AD379" s="83"/>
      <c r="AE379" s="83"/>
      <c r="AF379"/>
    </row>
    <row r="380" spans="1:32" s="9" customFormat="1" ht="26.25" hidden="1" x14ac:dyDescent="0.4">
      <c r="A380"/>
      <c r="B380" s="9">
        <f t="shared" ref="B380:B443" si="63">+B379+1</f>
        <v>3</v>
      </c>
      <c r="C380" s="29" t="str">
        <f>IF((E380&amp;D380)="","",_xlfn.CONCAT("/* ",B380," */","        ","""",D380,"""",","))</f>
        <v/>
      </c>
      <c r="D380" s="58" t="str">
        <f>IF(N5="","",N5)</f>
        <v/>
      </c>
      <c r="E380" s="88" t="str">
        <f>IF(O5="","",O5)</f>
        <v/>
      </c>
      <c r="F380" s="88" t="str">
        <f>IF(P5="","",P5)</f>
        <v/>
      </c>
      <c r="G380" s="89" t="str">
        <f>IF(Q5="","",Q5)</f>
        <v/>
      </c>
      <c r="H380" s="89" t="str">
        <f>IF(R5="","",R5)</f>
        <v/>
      </c>
      <c r="I380" s="88" t="str">
        <f>IF(S5="","",S5)</f>
        <v/>
      </c>
      <c r="J380" s="88" t="str">
        <f>IF(T5="","",T5)</f>
        <v/>
      </c>
      <c r="K380" s="89" t="str">
        <f>IF(U5="","",U5)</f>
        <v/>
      </c>
      <c r="L380" s="89" t="str">
        <f>IF(V5="","",V5)</f>
        <v/>
      </c>
      <c r="M380" s="83"/>
      <c r="N380" s="86"/>
      <c r="O380" s="83"/>
      <c r="P380" s="83"/>
      <c r="Q380" s="83"/>
      <c r="R380" s="83"/>
      <c r="S380" s="83"/>
      <c r="T380" s="83"/>
      <c r="U380" s="83"/>
      <c r="V380" s="84"/>
      <c r="W380" s="83"/>
      <c r="X380" s="83"/>
      <c r="Y380" s="83"/>
      <c r="Z380" s="83"/>
      <c r="AA380" s="83"/>
      <c r="AB380" s="84"/>
      <c r="AC380" s="83"/>
      <c r="AD380" s="83"/>
      <c r="AE380" s="83"/>
      <c r="AF380"/>
    </row>
    <row r="381" spans="1:32" s="9" customFormat="1" ht="26.25" hidden="1" x14ac:dyDescent="0.4">
      <c r="A381"/>
      <c r="B381" s="9">
        <f t="shared" si="63"/>
        <v>4</v>
      </c>
      <c r="C381" s="29" t="str">
        <f>IF((E381&amp;D381)="","",_xlfn.CONCAT("/* ",B381," */","        ","""",D381,"""",","))</f>
        <v/>
      </c>
      <c r="D381" s="59" t="str">
        <f>IF(N6="","",N6)</f>
        <v/>
      </c>
      <c r="E381" s="90" t="str">
        <f>IF(O6="","",O6)</f>
        <v/>
      </c>
      <c r="F381" s="90" t="str">
        <f>IF(P6="","",P6)</f>
        <v/>
      </c>
      <c r="G381" s="91" t="str">
        <f>IF(Q6="","",Q6)</f>
        <v/>
      </c>
      <c r="H381" s="91" t="str">
        <f>IF(R6="","",R6)</f>
        <v/>
      </c>
      <c r="I381" s="90" t="str">
        <f>IF(S6="","",S6)</f>
        <v/>
      </c>
      <c r="J381" s="90" t="str">
        <f>IF(T6="","",T6)</f>
        <v/>
      </c>
      <c r="K381" s="91" t="str">
        <f>IF(U6="","",U6)</f>
        <v/>
      </c>
      <c r="L381" s="91" t="str">
        <f>IF(V6="","",V6)</f>
        <v/>
      </c>
      <c r="M381" s="83"/>
      <c r="N381" s="86"/>
      <c r="O381" s="83"/>
      <c r="P381" s="83"/>
      <c r="Q381" s="83"/>
      <c r="R381" s="83"/>
      <c r="S381" s="83"/>
      <c r="T381" s="83"/>
      <c r="U381" s="83"/>
      <c r="V381" s="84"/>
      <c r="W381" s="83"/>
      <c r="X381" s="83"/>
      <c r="Y381" s="83"/>
      <c r="Z381" s="83"/>
      <c r="AA381" s="83"/>
      <c r="AB381" s="84"/>
      <c r="AC381" s="83"/>
      <c r="AD381" s="83"/>
      <c r="AE381" s="83"/>
      <c r="AF381"/>
    </row>
    <row r="382" spans="1:32" s="9" customFormat="1" ht="26.25" hidden="1" x14ac:dyDescent="0.4">
      <c r="A382"/>
      <c r="B382" s="9">
        <f t="shared" si="63"/>
        <v>5</v>
      </c>
      <c r="C382" s="29" t="str">
        <f>IF((E382&amp;D382)="","",_xlfn.CONCAT("/* ",B382," */","        ","""",D382,"""",","))</f>
        <v/>
      </c>
      <c r="D382" s="58" t="str">
        <f>IF(N7="","",N7)</f>
        <v/>
      </c>
      <c r="E382" s="88" t="str">
        <f>IF(O7="","",O7)</f>
        <v/>
      </c>
      <c r="F382" s="88" t="str">
        <f>IF(P7="","",P7)</f>
        <v/>
      </c>
      <c r="G382" s="89" t="str">
        <f>IF(Q7="","",Q7)</f>
        <v/>
      </c>
      <c r="H382" s="89" t="str">
        <f>IF(R7="","",R7)</f>
        <v/>
      </c>
      <c r="I382" s="88" t="str">
        <f>IF(S7="","",S7)</f>
        <v/>
      </c>
      <c r="J382" s="88" t="str">
        <f>IF(T7="","",T7)</f>
        <v/>
      </c>
      <c r="K382" s="89" t="str">
        <f>IF(U7="","",U7)</f>
        <v/>
      </c>
      <c r="L382" s="89" t="str">
        <f>IF(V7="","",V7)</f>
        <v/>
      </c>
      <c r="M382" s="83"/>
      <c r="N382" s="86"/>
      <c r="O382" s="83"/>
      <c r="P382" s="83"/>
      <c r="Q382" s="83"/>
      <c r="R382" s="83"/>
      <c r="S382" s="83"/>
      <c r="T382" s="83"/>
      <c r="U382" s="83"/>
      <c r="V382" s="84"/>
      <c r="W382" s="83"/>
      <c r="X382" s="83"/>
      <c r="Y382" s="83"/>
      <c r="Z382" s="83"/>
      <c r="AA382" s="83"/>
      <c r="AB382" s="84"/>
      <c r="AC382" s="83"/>
      <c r="AD382" s="83"/>
      <c r="AE382" s="83"/>
      <c r="AF382"/>
    </row>
    <row r="383" spans="1:32" s="9" customFormat="1" ht="26.25" hidden="1" x14ac:dyDescent="0.4">
      <c r="A383"/>
      <c r="B383" s="9">
        <f t="shared" si="63"/>
        <v>6</v>
      </c>
      <c r="C383" s="29" t="str">
        <f>IF((E383&amp;D383)="","",_xlfn.CONCAT("/* ",B383," */","        ","""",D383,"""",","))</f>
        <v/>
      </c>
      <c r="D383" s="59" t="str">
        <f>IF(N8="","",N8)</f>
        <v/>
      </c>
      <c r="E383" s="90" t="str">
        <f>IF(O8="","",O8)</f>
        <v/>
      </c>
      <c r="F383" s="90" t="str">
        <f>IF(P8="","",P8)</f>
        <v/>
      </c>
      <c r="G383" s="91" t="str">
        <f>IF(Q8="","",Q8)</f>
        <v/>
      </c>
      <c r="H383" s="91" t="str">
        <f>IF(R8="","",R8)</f>
        <v/>
      </c>
      <c r="I383" s="90" t="str">
        <f>IF(S8="","",S8)</f>
        <v/>
      </c>
      <c r="J383" s="90" t="str">
        <f>IF(T8="","",T8)</f>
        <v/>
      </c>
      <c r="K383" s="91" t="str">
        <f>IF(U8="","",U8)</f>
        <v/>
      </c>
      <c r="L383" s="91" t="str">
        <f>IF(V8="","",V8)</f>
        <v/>
      </c>
      <c r="M383" s="85"/>
      <c r="N383" s="86"/>
      <c r="O383" s="83"/>
      <c r="P383" s="83"/>
      <c r="Q383" s="83"/>
      <c r="R383" s="83"/>
      <c r="S383" s="83"/>
      <c r="T383" s="83"/>
      <c r="U383" s="83"/>
      <c r="V383" s="84"/>
      <c r="W383" s="83"/>
      <c r="X383" s="83"/>
      <c r="Y383" s="83"/>
      <c r="Z383" s="83"/>
      <c r="AA383" s="83"/>
      <c r="AB383" s="84"/>
      <c r="AC383" s="83"/>
      <c r="AD383" s="83"/>
      <c r="AE383" s="83"/>
      <c r="AF383"/>
    </row>
    <row r="384" spans="1:32" s="9" customFormat="1" ht="26.25" hidden="1" x14ac:dyDescent="0.4">
      <c r="A384"/>
      <c r="B384" s="9">
        <f t="shared" si="63"/>
        <v>7</v>
      </c>
      <c r="C384" s="29" t="str">
        <f>IF((E384&amp;D384)="","",_xlfn.CONCAT("/* ",B384," */","        ","""",D384,"""",","))</f>
        <v/>
      </c>
      <c r="D384" s="58" t="str">
        <f>IF(N9="","",N9)</f>
        <v/>
      </c>
      <c r="E384" s="88" t="str">
        <f>IF(O9="","",O9)</f>
        <v/>
      </c>
      <c r="F384" s="88" t="str">
        <f>IF(P9="","",P9)</f>
        <v/>
      </c>
      <c r="G384" s="89" t="str">
        <f>IF(Q9="","",Q9)</f>
        <v/>
      </c>
      <c r="H384" s="89" t="str">
        <f>IF(R9="","",R9)</f>
        <v/>
      </c>
      <c r="I384" s="88" t="str">
        <f>IF(S9="","",S9)</f>
        <v/>
      </c>
      <c r="J384" s="88" t="str">
        <f>IF(T9="","",T9)</f>
        <v/>
      </c>
      <c r="K384" s="89" t="str">
        <f>IF(U9="","",U9)</f>
        <v/>
      </c>
      <c r="L384" s="89" t="str">
        <f>IF(V9="","",V9)</f>
        <v/>
      </c>
      <c r="M384" s="85"/>
      <c r="N384" s="86"/>
      <c r="O384" s="83"/>
      <c r="P384" s="83"/>
      <c r="Q384" s="83"/>
      <c r="R384" s="83"/>
      <c r="S384" s="83"/>
      <c r="T384" s="83"/>
      <c r="U384" s="83"/>
      <c r="V384" s="84"/>
      <c r="W384" s="83"/>
      <c r="X384" s="83"/>
      <c r="Y384" s="83"/>
      <c r="Z384" s="83"/>
      <c r="AA384" s="83"/>
      <c r="AB384" s="84"/>
      <c r="AC384" s="83"/>
      <c r="AD384" s="83"/>
      <c r="AE384" s="83"/>
      <c r="AF384"/>
    </row>
    <row r="385" spans="1:32" s="9" customFormat="1" ht="26.25" hidden="1" x14ac:dyDescent="0.4">
      <c r="A385"/>
      <c r="B385" s="9">
        <f t="shared" si="63"/>
        <v>8</v>
      </c>
      <c r="C385" s="29" t="str">
        <f>IF((E385&amp;D385)="","",_xlfn.CONCAT("/* ",B385," */","        ","""",D385,"""",","))</f>
        <v/>
      </c>
      <c r="D385" s="59" t="str">
        <f>IF(N10="","",N10)</f>
        <v/>
      </c>
      <c r="E385" s="90" t="str">
        <f>IF(O10="","",O10)</f>
        <v/>
      </c>
      <c r="F385" s="90" t="str">
        <f>IF(P10="","",P10)</f>
        <v/>
      </c>
      <c r="G385" s="91" t="str">
        <f>IF(Q10="","",Q10)</f>
        <v/>
      </c>
      <c r="H385" s="91" t="str">
        <f>IF(R10="","",R10)</f>
        <v/>
      </c>
      <c r="I385" s="90" t="str">
        <f>IF(S10="","",S10)</f>
        <v/>
      </c>
      <c r="J385" s="90" t="str">
        <f>IF(T10="","",T10)</f>
        <v/>
      </c>
      <c r="K385" s="91" t="str">
        <f>IF(U10="","",U10)</f>
        <v/>
      </c>
      <c r="L385" s="91" t="str">
        <f>IF(V10="","",V10)</f>
        <v/>
      </c>
      <c r="M385" s="85"/>
      <c r="N385" s="86"/>
      <c r="O385" s="83"/>
      <c r="P385" s="83"/>
      <c r="Q385" s="83"/>
      <c r="R385" s="83"/>
      <c r="S385" s="83"/>
      <c r="T385" s="83"/>
      <c r="U385" s="83"/>
      <c r="V385" s="84"/>
      <c r="W385" s="83"/>
      <c r="X385" s="83"/>
      <c r="Y385" s="83"/>
      <c r="Z385" s="83"/>
      <c r="AA385" s="83"/>
      <c r="AB385" s="84"/>
      <c r="AC385" s="83"/>
      <c r="AD385" s="83"/>
      <c r="AE385" s="83"/>
      <c r="AF385"/>
    </row>
    <row r="386" spans="1:32" ht="26.25" hidden="1" x14ac:dyDescent="0.4">
      <c r="B386" s="9">
        <f t="shared" si="63"/>
        <v>9</v>
      </c>
      <c r="C386" s="29" t="str">
        <f>IF((E386&amp;D386)="","",_xlfn.CONCAT("/* ",B386," */","        ","""",D386,"""",","))</f>
        <v/>
      </c>
      <c r="D386" s="58" t="str">
        <f>IF(N11="","",N11)</f>
        <v/>
      </c>
      <c r="E386" s="88" t="str">
        <f>IF(O11="","",O11)</f>
        <v/>
      </c>
      <c r="F386" s="88" t="str">
        <f>IF(P11="","",P11)</f>
        <v/>
      </c>
      <c r="G386" s="89" t="str">
        <f>IF(Q11="","",Q11)</f>
        <v/>
      </c>
      <c r="H386" s="89" t="str">
        <f>IF(R11="","",R11)</f>
        <v/>
      </c>
      <c r="I386" s="88" t="str">
        <f>IF(S11="","",S11)</f>
        <v/>
      </c>
      <c r="J386" s="88" t="str">
        <f>IF(T11="","",T11)</f>
        <v/>
      </c>
      <c r="K386" s="89" t="str">
        <f>IF(U11="","",U11)</f>
        <v/>
      </c>
      <c r="L386" s="89" t="str">
        <f>IF(V11="","",V11)</f>
        <v/>
      </c>
      <c r="M386" s="85"/>
      <c r="N386" s="86"/>
      <c r="O386" s="83"/>
      <c r="P386" s="83"/>
      <c r="Q386" s="83"/>
      <c r="R386" s="83"/>
      <c r="S386" s="83"/>
      <c r="T386" s="83"/>
      <c r="U386" s="83"/>
      <c r="V386" s="84"/>
      <c r="W386" s="83"/>
      <c r="X386" s="83"/>
      <c r="Y386" s="83"/>
      <c r="Z386" s="83"/>
      <c r="AA386" s="83"/>
      <c r="AB386" s="84"/>
      <c r="AC386" s="83"/>
      <c r="AD386" s="83"/>
      <c r="AE386" s="83"/>
      <c r="AF386"/>
    </row>
    <row r="387" spans="1:32" ht="26.25" hidden="1" x14ac:dyDescent="0.4">
      <c r="B387" s="9">
        <f t="shared" si="63"/>
        <v>10</v>
      </c>
      <c r="C387" s="29" t="str">
        <f>IF((E387&amp;D387)="","",_xlfn.CONCAT("/* ",B387," */","        ","""",D387,"""",","))</f>
        <v/>
      </c>
      <c r="D387" s="59" t="str">
        <f>IF(N12="","",N12)</f>
        <v/>
      </c>
      <c r="E387" s="90" t="str">
        <f>IF(O12="","",O12)</f>
        <v/>
      </c>
      <c r="F387" s="90" t="str">
        <f>IF(P12="","",P12)</f>
        <v/>
      </c>
      <c r="G387" s="91" t="str">
        <f>IF(Q12="","",Q12)</f>
        <v/>
      </c>
      <c r="H387" s="91" t="str">
        <f>IF(R12="","",R12)</f>
        <v/>
      </c>
      <c r="I387" s="90" t="str">
        <f>IF(S12="","",S12)</f>
        <v/>
      </c>
      <c r="J387" s="90" t="str">
        <f>IF(T12="","",T12)</f>
        <v/>
      </c>
      <c r="K387" s="91" t="str">
        <f>IF(U12="","",U12)</f>
        <v/>
      </c>
      <c r="L387" s="91" t="str">
        <f>IF(V12="","",V12)</f>
        <v/>
      </c>
      <c r="M387" s="85"/>
      <c r="N387" s="86"/>
      <c r="O387" s="83"/>
      <c r="P387" s="83"/>
      <c r="Q387" s="83"/>
      <c r="R387" s="83"/>
      <c r="S387" s="83"/>
      <c r="T387" s="83"/>
      <c r="U387" s="83"/>
      <c r="V387" s="84"/>
      <c r="W387" s="83"/>
      <c r="X387" s="83"/>
      <c r="Y387" s="83"/>
      <c r="Z387" s="83"/>
      <c r="AA387" s="83"/>
      <c r="AB387" s="84"/>
      <c r="AC387" s="83"/>
      <c r="AD387" s="83"/>
      <c r="AE387" s="83"/>
      <c r="AF387"/>
    </row>
    <row r="388" spans="1:32" ht="26.25" hidden="1" x14ac:dyDescent="0.4">
      <c r="B388" s="9">
        <f t="shared" si="63"/>
        <v>11</v>
      </c>
      <c r="C388" s="29" t="str">
        <f>IF((E388&amp;D388)="","",_xlfn.CONCAT("/* ",B388," */","        ","""",D388,"""",","))</f>
        <v/>
      </c>
      <c r="D388" s="58" t="str">
        <f>IF(N13="","",N13)</f>
        <v/>
      </c>
      <c r="E388" s="88" t="str">
        <f>IF(O13="","",O13)</f>
        <v/>
      </c>
      <c r="F388" s="88" t="str">
        <f>IF(P13="","",P13)</f>
        <v/>
      </c>
      <c r="G388" s="89" t="str">
        <f>IF(Q13="","",Q13)</f>
        <v/>
      </c>
      <c r="H388" s="89" t="str">
        <f>IF(R13="","",R13)</f>
        <v/>
      </c>
      <c r="I388" s="88" t="str">
        <f>IF(S13="","",S13)</f>
        <v/>
      </c>
      <c r="J388" s="88" t="str">
        <f>IF(T13="","",T13)</f>
        <v/>
      </c>
      <c r="K388" s="89" t="str">
        <f>IF(U13="","",U13)</f>
        <v/>
      </c>
      <c r="L388" s="89" t="str">
        <f>IF(V13="","",V13)</f>
        <v/>
      </c>
      <c r="M388" s="85"/>
      <c r="N388" s="86"/>
      <c r="O388" s="83"/>
      <c r="P388" s="83"/>
      <c r="Q388" s="83"/>
      <c r="R388" s="83"/>
      <c r="S388" s="83"/>
      <c r="T388" s="83"/>
      <c r="U388" s="83"/>
      <c r="V388" s="84"/>
      <c r="W388" s="83"/>
      <c r="X388" s="83"/>
      <c r="Y388" s="83"/>
      <c r="Z388" s="83"/>
      <c r="AA388" s="83"/>
      <c r="AB388" s="84"/>
      <c r="AC388" s="83"/>
      <c r="AD388" s="83"/>
      <c r="AE388" s="83"/>
      <c r="AF388"/>
    </row>
    <row r="389" spans="1:32" ht="26.25" hidden="1" x14ac:dyDescent="0.4">
      <c r="B389" s="9">
        <f t="shared" si="63"/>
        <v>12</v>
      </c>
      <c r="C389" s="29" t="str">
        <f>IF((E389&amp;D389)="","",_xlfn.CONCAT("/* ",B389," */","        ","""",D389,"""",","))</f>
        <v/>
      </c>
      <c r="D389" s="59" t="str">
        <f>IF(N14="","",N14)</f>
        <v/>
      </c>
      <c r="E389" s="90" t="str">
        <f>IF(O14="","",O14)</f>
        <v/>
      </c>
      <c r="F389" s="90" t="str">
        <f>IF(P14="","",P14)</f>
        <v/>
      </c>
      <c r="G389" s="91" t="str">
        <f>IF(Q14="","",Q14)</f>
        <v/>
      </c>
      <c r="H389" s="91" t="str">
        <f>IF(R14="","",R14)</f>
        <v/>
      </c>
      <c r="I389" s="90" t="str">
        <f>IF(S14="","",S14)</f>
        <v/>
      </c>
      <c r="J389" s="90" t="str">
        <f>IF(T14="","",T14)</f>
        <v/>
      </c>
      <c r="K389" s="91" t="str">
        <f>IF(U14="","",U14)</f>
        <v/>
      </c>
      <c r="L389" s="91" t="str">
        <f>IF(V14="","",V14)</f>
        <v/>
      </c>
      <c r="M389" s="85"/>
      <c r="N389" s="86"/>
      <c r="O389" s="83"/>
      <c r="P389" s="83"/>
      <c r="Q389" s="83"/>
      <c r="R389" s="83"/>
      <c r="S389" s="83"/>
      <c r="T389" s="83"/>
      <c r="U389" s="83"/>
      <c r="V389" s="84"/>
      <c r="W389" s="83"/>
      <c r="X389" s="83"/>
      <c r="Y389" s="83"/>
      <c r="Z389" s="83"/>
      <c r="AA389" s="83"/>
      <c r="AB389" s="84"/>
      <c r="AC389" s="83"/>
      <c r="AD389" s="83"/>
      <c r="AE389" s="83"/>
      <c r="AF389"/>
    </row>
    <row r="390" spans="1:32" ht="26.25" hidden="1" x14ac:dyDescent="0.4">
      <c r="B390" s="9">
        <f t="shared" si="63"/>
        <v>13</v>
      </c>
      <c r="C390" s="29" t="str">
        <f>IF((E390&amp;D390)="","",_xlfn.CONCAT("/* ",B390," */","        ","""",D390,"""",","))</f>
        <v/>
      </c>
      <c r="D390" s="58" t="str">
        <f>IF(N15="","",N15)</f>
        <v/>
      </c>
      <c r="E390" s="88" t="str">
        <f>IF(O15="","",O15)</f>
        <v/>
      </c>
      <c r="F390" s="88" t="str">
        <f>IF(P15="","",P15)</f>
        <v/>
      </c>
      <c r="G390" s="89" t="str">
        <f>IF(Q15="","",Q15)</f>
        <v/>
      </c>
      <c r="H390" s="89" t="str">
        <f>IF(R15="","",R15)</f>
        <v/>
      </c>
      <c r="I390" s="88" t="str">
        <f>IF(S15="","",S15)</f>
        <v/>
      </c>
      <c r="J390" s="88" t="str">
        <f>IF(T15="","",T15)</f>
        <v/>
      </c>
      <c r="K390" s="89" t="str">
        <f>IF(U15="","",U15)</f>
        <v/>
      </c>
      <c r="L390" s="89" t="str">
        <f>IF(V15="","",V15)</f>
        <v/>
      </c>
      <c r="M390" s="85"/>
      <c r="N390" s="86"/>
      <c r="O390" s="83"/>
      <c r="P390" s="83"/>
      <c r="Q390" s="83"/>
      <c r="R390" s="83"/>
      <c r="S390" s="83"/>
      <c r="T390" s="83"/>
      <c r="U390" s="83"/>
      <c r="V390" s="84"/>
      <c r="W390" s="83"/>
      <c r="X390" s="83"/>
      <c r="Y390" s="83"/>
      <c r="Z390" s="83"/>
      <c r="AA390" s="83"/>
      <c r="AB390" s="84"/>
      <c r="AC390" s="83"/>
      <c r="AD390" s="83"/>
      <c r="AE390" s="83"/>
      <c r="AF390"/>
    </row>
    <row r="391" spans="1:32" ht="26.25" hidden="1" x14ac:dyDescent="0.4">
      <c r="B391" s="9">
        <f t="shared" si="63"/>
        <v>14</v>
      </c>
      <c r="C391" s="29" t="str">
        <f>IF((E391&amp;D391)="","",_xlfn.CONCAT("/* ",B391," */","        ","""",D391,"""",","))</f>
        <v/>
      </c>
      <c r="D391" s="59" t="str">
        <f>IF(N16="","",N16)</f>
        <v/>
      </c>
      <c r="E391" s="90" t="str">
        <f>IF(O16="","",O16)</f>
        <v/>
      </c>
      <c r="F391" s="90" t="str">
        <f>IF(P16="","",P16)</f>
        <v/>
      </c>
      <c r="G391" s="91" t="str">
        <f>IF(Q16="","",Q16)</f>
        <v/>
      </c>
      <c r="H391" s="91" t="str">
        <f>IF(R16="","",R16)</f>
        <v/>
      </c>
      <c r="I391" s="90" t="str">
        <f>IF(S16="","",S16)</f>
        <v/>
      </c>
      <c r="J391" s="90" t="str">
        <f>IF(T16="","",T16)</f>
        <v/>
      </c>
      <c r="K391" s="91" t="str">
        <f>IF(U16="","",U16)</f>
        <v/>
      </c>
      <c r="L391" s="91" t="str">
        <f>IF(V16="","",V16)</f>
        <v/>
      </c>
      <c r="M391" s="85"/>
      <c r="N391" s="86"/>
      <c r="O391" s="83"/>
      <c r="P391" s="83"/>
      <c r="Q391" s="83"/>
      <c r="R391" s="83"/>
      <c r="S391" s="83"/>
      <c r="T391" s="83"/>
      <c r="U391" s="83"/>
      <c r="V391" s="84"/>
      <c r="W391" s="83"/>
      <c r="X391" s="83"/>
      <c r="Y391" s="83"/>
      <c r="Z391" s="83"/>
      <c r="AA391" s="83"/>
      <c r="AB391" s="84"/>
      <c r="AC391" s="83"/>
      <c r="AD391" s="83"/>
      <c r="AE391" s="83"/>
      <c r="AF391"/>
    </row>
    <row r="392" spans="1:32" ht="26.25" hidden="1" x14ac:dyDescent="0.4">
      <c r="B392" s="9">
        <f t="shared" si="63"/>
        <v>15</v>
      </c>
      <c r="C392" s="29" t="str">
        <f>IF((E392&amp;D392)="","",_xlfn.CONCAT("/* ",B392," */","        ","""",D392,"""",","))</f>
        <v/>
      </c>
      <c r="D392" s="58" t="str">
        <f>IF(N17="","",N17)</f>
        <v/>
      </c>
      <c r="E392" s="88" t="str">
        <f>IF(O17="","",O17)</f>
        <v/>
      </c>
      <c r="F392" s="88" t="str">
        <f>IF(P17="","",P17)</f>
        <v/>
      </c>
      <c r="G392" s="89" t="str">
        <f>IF(Q17="","",Q17)</f>
        <v/>
      </c>
      <c r="H392" s="89" t="str">
        <f>IF(R17="","",R17)</f>
        <v/>
      </c>
      <c r="I392" s="88" t="str">
        <f>IF(S17="","",S17)</f>
        <v/>
      </c>
      <c r="J392" s="88" t="str">
        <f>IF(T17="","",T17)</f>
        <v/>
      </c>
      <c r="K392" s="89" t="str">
        <f>IF(U17="","",U17)</f>
        <v/>
      </c>
      <c r="L392" s="89" t="str">
        <f>IF(V17="","",V17)</f>
        <v/>
      </c>
      <c r="M392" s="85"/>
      <c r="N392" s="86"/>
      <c r="O392" s="83"/>
      <c r="P392" s="83"/>
      <c r="Q392" s="83"/>
      <c r="R392" s="83"/>
      <c r="S392" s="83"/>
      <c r="T392" s="83"/>
      <c r="U392" s="83"/>
      <c r="V392" s="84"/>
      <c r="W392" s="83"/>
      <c r="X392" s="83"/>
      <c r="Y392" s="83"/>
      <c r="Z392" s="83"/>
      <c r="AA392" s="83"/>
      <c r="AB392" s="84"/>
      <c r="AC392" s="83"/>
      <c r="AD392" s="83"/>
      <c r="AE392" s="83"/>
      <c r="AF392"/>
    </row>
    <row r="393" spans="1:32" ht="26.25" hidden="1" x14ac:dyDescent="0.4">
      <c r="B393" s="9">
        <f t="shared" si="63"/>
        <v>16</v>
      </c>
      <c r="C393" s="29" t="str">
        <f>IF((E393&amp;D393)="","",_xlfn.CONCAT("/* ",B393," */","        ","""",D393,"""",","))</f>
        <v/>
      </c>
      <c r="D393" s="59" t="str">
        <f>IF(N18="","",N18)</f>
        <v/>
      </c>
      <c r="E393" s="90" t="str">
        <f>IF(O18="","",O18)</f>
        <v/>
      </c>
      <c r="F393" s="90" t="str">
        <f>IF(P18="","",P18)</f>
        <v/>
      </c>
      <c r="G393" s="91" t="str">
        <f>IF(Q18="","",Q18)</f>
        <v/>
      </c>
      <c r="H393" s="91" t="str">
        <f>IF(R18="","",R18)</f>
        <v/>
      </c>
      <c r="I393" s="90" t="str">
        <f>IF(S18="","",S18)</f>
        <v/>
      </c>
      <c r="J393" s="90" t="str">
        <f>IF(T18="","",T18)</f>
        <v/>
      </c>
      <c r="K393" s="91" t="str">
        <f>IF(U18="","",U18)</f>
        <v/>
      </c>
      <c r="L393" s="91" t="str">
        <f>IF(V18="","",V18)</f>
        <v/>
      </c>
      <c r="M393" s="85"/>
      <c r="N393" s="86"/>
      <c r="O393" s="83"/>
      <c r="P393" s="83"/>
      <c r="Q393" s="83"/>
      <c r="R393" s="83"/>
      <c r="S393" s="83"/>
      <c r="T393" s="83"/>
      <c r="U393" s="83"/>
      <c r="V393" s="84"/>
      <c r="W393" s="83"/>
      <c r="X393" s="83"/>
      <c r="Y393" s="83"/>
      <c r="Z393" s="83"/>
      <c r="AA393" s="83"/>
      <c r="AB393" s="84"/>
      <c r="AC393" s="83"/>
      <c r="AD393" s="83"/>
      <c r="AE393" s="83"/>
      <c r="AF393"/>
    </row>
    <row r="394" spans="1:32" ht="26.25" hidden="1" x14ac:dyDescent="0.4">
      <c r="B394" s="9">
        <f t="shared" si="63"/>
        <v>17</v>
      </c>
      <c r="C394" s="29" t="str">
        <f>IF((E394&amp;D394)="","",_xlfn.CONCAT("/* ",B394," */","        ","""",D394,"""",","))</f>
        <v/>
      </c>
      <c r="D394" s="58" t="str">
        <f>IF(N19="","",N19)</f>
        <v/>
      </c>
      <c r="E394" s="88" t="str">
        <f>IF(O19="","",O19)</f>
        <v/>
      </c>
      <c r="F394" s="88" t="str">
        <f>IF(P19="","",P19)</f>
        <v/>
      </c>
      <c r="G394" s="89" t="str">
        <f>IF(Q19="","",Q19)</f>
        <v/>
      </c>
      <c r="H394" s="89" t="str">
        <f>IF(R19="","",R19)</f>
        <v/>
      </c>
      <c r="I394" s="88" t="str">
        <f>IF(S19="","",S19)</f>
        <v/>
      </c>
      <c r="J394" s="88" t="str">
        <f>IF(T19="","",T19)</f>
        <v/>
      </c>
      <c r="K394" s="89" t="str">
        <f>IF(U19="","",U19)</f>
        <v/>
      </c>
      <c r="L394" s="89" t="str">
        <f>IF(V19="","",V19)</f>
        <v/>
      </c>
      <c r="M394" s="85"/>
      <c r="N394" s="86"/>
      <c r="O394" s="83"/>
      <c r="P394" s="83"/>
      <c r="Q394" s="83"/>
      <c r="R394" s="83"/>
      <c r="S394" s="83"/>
      <c r="T394" s="83"/>
      <c r="U394" s="83"/>
      <c r="V394" s="84"/>
      <c r="W394" s="83"/>
      <c r="X394" s="83"/>
      <c r="Y394" s="83"/>
      <c r="Z394" s="83"/>
      <c r="AA394" s="83"/>
      <c r="AB394" s="84"/>
      <c r="AC394" s="83"/>
      <c r="AD394" s="83"/>
      <c r="AE394" s="83"/>
      <c r="AF394"/>
    </row>
    <row r="395" spans="1:32" ht="26.25" hidden="1" x14ac:dyDescent="0.4">
      <c r="B395" s="9">
        <f t="shared" si="63"/>
        <v>18</v>
      </c>
      <c r="C395" s="29" t="str">
        <f>IF((E395&amp;D395)="","",_xlfn.CONCAT("/* ",B395," */","        ","""",D395,"""",","))</f>
        <v/>
      </c>
      <c r="D395" s="59" t="str">
        <f>IF(N20="","",N20)</f>
        <v/>
      </c>
      <c r="E395" s="90" t="str">
        <f>IF(O20="","",O20)</f>
        <v/>
      </c>
      <c r="F395" s="90" t="str">
        <f>IF(P20="","",P20)</f>
        <v/>
      </c>
      <c r="G395" s="91" t="str">
        <f>IF(Q20="","",Q20)</f>
        <v/>
      </c>
      <c r="H395" s="91" t="str">
        <f>IF(R20="","",R20)</f>
        <v/>
      </c>
      <c r="I395" s="90" t="str">
        <f>IF(S20="","",S20)</f>
        <v/>
      </c>
      <c r="J395" s="90" t="str">
        <f>IF(T20="","",T20)</f>
        <v/>
      </c>
      <c r="K395" s="91" t="str">
        <f>IF(U20="","",U20)</f>
        <v/>
      </c>
      <c r="L395" s="91" t="str">
        <f>IF(V20="","",V20)</f>
        <v/>
      </c>
      <c r="M395" s="85"/>
      <c r="N395" s="86"/>
      <c r="O395" s="83"/>
      <c r="P395" s="83"/>
      <c r="Q395" s="83"/>
      <c r="R395" s="83"/>
      <c r="S395" s="83"/>
      <c r="T395" s="83"/>
      <c r="U395" s="83"/>
      <c r="V395" s="84"/>
      <c r="W395" s="83"/>
      <c r="X395" s="83"/>
      <c r="Y395" s="83"/>
      <c r="Z395" s="83"/>
      <c r="AA395" s="83"/>
      <c r="AB395" s="84"/>
      <c r="AC395" s="83"/>
      <c r="AD395" s="83"/>
      <c r="AE395" s="83"/>
      <c r="AF395"/>
    </row>
    <row r="396" spans="1:32" ht="26.25" hidden="1" x14ac:dyDescent="0.4">
      <c r="B396" s="9">
        <f t="shared" si="63"/>
        <v>19</v>
      </c>
      <c r="C396" s="29" t="str">
        <f>IF((E396&amp;D396)="","",_xlfn.CONCAT("/* ",B396," */","        ","""",D396,"""",","))</f>
        <v/>
      </c>
      <c r="D396" s="58" t="str">
        <f>IF(N21="","",N21)</f>
        <v/>
      </c>
      <c r="E396" s="88" t="str">
        <f>IF(O21="","",O21)</f>
        <v/>
      </c>
      <c r="F396" s="88" t="str">
        <f>IF(P21="","",P21)</f>
        <v/>
      </c>
      <c r="G396" s="89" t="str">
        <f>IF(Q21="","",Q21)</f>
        <v/>
      </c>
      <c r="H396" s="89" t="str">
        <f>IF(R21="","",R21)</f>
        <v/>
      </c>
      <c r="I396" s="88" t="str">
        <f>IF(S21="","",S21)</f>
        <v/>
      </c>
      <c r="J396" s="88" t="str">
        <f>IF(T21="","",T21)</f>
        <v/>
      </c>
      <c r="K396" s="89" t="str">
        <f>IF(U21="","",U21)</f>
        <v/>
      </c>
      <c r="L396" s="89" t="str">
        <f>IF(V21="","",V21)</f>
        <v/>
      </c>
      <c r="M396" s="85"/>
      <c r="N396" s="86"/>
      <c r="O396" s="83"/>
      <c r="P396" s="83"/>
      <c r="Q396" s="83"/>
      <c r="R396" s="83"/>
      <c r="S396" s="83"/>
      <c r="T396" s="83"/>
      <c r="U396" s="83"/>
      <c r="V396" s="84"/>
      <c r="W396" s="83"/>
      <c r="X396" s="83"/>
      <c r="Y396" s="83"/>
      <c r="Z396" s="83"/>
      <c r="AA396" s="83"/>
      <c r="AB396" s="84"/>
      <c r="AC396" s="83"/>
      <c r="AD396" s="83"/>
      <c r="AE396" s="83"/>
      <c r="AF396"/>
    </row>
    <row r="397" spans="1:32" ht="26.25" hidden="1" x14ac:dyDescent="0.4">
      <c r="B397" s="9">
        <f t="shared" si="63"/>
        <v>20</v>
      </c>
      <c r="C397" s="29" t="str">
        <f>IF((E397&amp;D397)="","",_xlfn.CONCAT("/* ",B397," */","        ","""",D397,"""",","))</f>
        <v/>
      </c>
      <c r="D397" s="59" t="str">
        <f>IF(N22="","",N22)</f>
        <v/>
      </c>
      <c r="E397" s="90" t="str">
        <f>IF(O22="","",O22)</f>
        <v/>
      </c>
      <c r="F397" s="90" t="str">
        <f>IF(P22="","",P22)</f>
        <v/>
      </c>
      <c r="G397" s="91" t="str">
        <f>IF(Q22="","",Q22)</f>
        <v/>
      </c>
      <c r="H397" s="91" t="str">
        <f>IF(R22="","",R22)</f>
        <v/>
      </c>
      <c r="I397" s="90" t="str">
        <f>IF(S22="","",S22)</f>
        <v/>
      </c>
      <c r="J397" s="90" t="str">
        <f>IF(T22="","",T22)</f>
        <v/>
      </c>
      <c r="K397" s="91" t="str">
        <f>IF(U22="","",U22)</f>
        <v/>
      </c>
      <c r="L397" s="91" t="str">
        <f>IF(V22="","",V22)</f>
        <v/>
      </c>
      <c r="M397" s="85"/>
      <c r="N397" s="86"/>
      <c r="O397" s="83"/>
      <c r="P397" s="83"/>
      <c r="Q397" s="83"/>
      <c r="R397" s="83"/>
      <c r="S397" s="83"/>
      <c r="T397" s="83"/>
      <c r="U397" s="83"/>
      <c r="V397" s="84"/>
      <c r="W397" s="83"/>
      <c r="X397" s="83"/>
      <c r="Y397" s="83"/>
      <c r="Z397" s="83"/>
      <c r="AA397" s="83"/>
      <c r="AB397" s="84"/>
      <c r="AC397" s="83"/>
      <c r="AD397" s="83"/>
      <c r="AE397" s="83"/>
      <c r="AF397"/>
    </row>
    <row r="398" spans="1:32" ht="26.25" hidden="1" x14ac:dyDescent="0.4">
      <c r="B398" s="9">
        <f t="shared" si="63"/>
        <v>21</v>
      </c>
      <c r="C398" s="29" t="str">
        <f>IF((E398&amp;D398)="","",_xlfn.CONCAT("/* ",B398," */","        ","""",D398,"""",","))</f>
        <v/>
      </c>
      <c r="D398" s="58" t="str">
        <f>IF(N23="","",N23)</f>
        <v/>
      </c>
      <c r="E398" s="88" t="str">
        <f>IF(O23="","",O23)</f>
        <v/>
      </c>
      <c r="F398" s="88" t="str">
        <f>IF(P23="","",P23)</f>
        <v/>
      </c>
      <c r="G398" s="89" t="str">
        <f>IF(Q23="","",Q23)</f>
        <v/>
      </c>
      <c r="H398" s="89" t="str">
        <f>IF(R23="","",R23)</f>
        <v/>
      </c>
      <c r="I398" s="88" t="str">
        <f>IF(S23="","",S23)</f>
        <v/>
      </c>
      <c r="J398" s="88" t="str">
        <f>IF(T23="","",T23)</f>
        <v/>
      </c>
      <c r="K398" s="89" t="str">
        <f>IF(U23="","",U23)</f>
        <v/>
      </c>
      <c r="L398" s="89" t="str">
        <f>IF(V23="","",V23)</f>
        <v/>
      </c>
      <c r="M398" s="85"/>
      <c r="N398" s="86"/>
      <c r="O398" s="83"/>
      <c r="P398" s="83"/>
      <c r="Q398" s="83"/>
      <c r="R398" s="83"/>
      <c r="S398" s="83"/>
      <c r="T398" s="83"/>
      <c r="U398" s="83"/>
      <c r="V398" s="84"/>
      <c r="W398" s="83"/>
      <c r="X398" s="83"/>
      <c r="Y398" s="83"/>
      <c r="Z398" s="83"/>
      <c r="AA398" s="83"/>
      <c r="AB398" s="84"/>
      <c r="AC398" s="83"/>
      <c r="AD398" s="83"/>
      <c r="AE398" s="83"/>
      <c r="AF398"/>
    </row>
    <row r="399" spans="1:32" ht="26.25" hidden="1" x14ac:dyDescent="0.4">
      <c r="B399" s="9">
        <f t="shared" si="63"/>
        <v>22</v>
      </c>
      <c r="C399" s="29" t="str">
        <f>IF((E399&amp;D399)="","",_xlfn.CONCAT("/* ",B399," */","        ","""",D399,"""",","))</f>
        <v/>
      </c>
      <c r="D399" s="59" t="str">
        <f>IF(N24="","",N24)</f>
        <v/>
      </c>
      <c r="E399" s="90" t="str">
        <f>IF(O24="","",O24)</f>
        <v/>
      </c>
      <c r="F399" s="90" t="str">
        <f>IF(P24="","",P24)</f>
        <v/>
      </c>
      <c r="G399" s="91" t="str">
        <f>IF(Q24="","",Q24)</f>
        <v/>
      </c>
      <c r="H399" s="91" t="str">
        <f>IF(R24="","",R24)</f>
        <v/>
      </c>
      <c r="I399" s="90" t="str">
        <f>IF(S24="","",S24)</f>
        <v/>
      </c>
      <c r="J399" s="90" t="str">
        <f>IF(T24="","",T24)</f>
        <v/>
      </c>
      <c r="K399" s="91" t="str">
        <f>IF(U24="","",U24)</f>
        <v/>
      </c>
      <c r="L399" s="91" t="str">
        <f>IF(V24="","",V24)</f>
        <v/>
      </c>
      <c r="M399" s="85"/>
      <c r="N399" s="86"/>
      <c r="O399" s="83"/>
      <c r="P399" s="83"/>
      <c r="Q399" s="83"/>
      <c r="R399" s="83"/>
      <c r="S399" s="83"/>
      <c r="T399" s="83"/>
      <c r="U399" s="83"/>
      <c r="V399" s="84"/>
      <c r="W399" s="83"/>
      <c r="X399" s="83"/>
      <c r="Y399" s="83"/>
      <c r="Z399" s="83"/>
      <c r="AA399" s="83"/>
      <c r="AB399" s="84"/>
      <c r="AC399" s="83"/>
      <c r="AD399" s="83"/>
      <c r="AE399" s="83"/>
      <c r="AF399"/>
    </row>
    <row r="400" spans="1:32" ht="26.25" hidden="1" x14ac:dyDescent="0.4">
      <c r="B400" s="9">
        <f t="shared" si="63"/>
        <v>23</v>
      </c>
      <c r="C400" s="29" t="str">
        <f>IF((E400&amp;D400)="","",_xlfn.CONCAT("/* ",B400," */","        ","""",D400,"""",","))</f>
        <v/>
      </c>
      <c r="D400" s="58" t="str">
        <f>IF(N25="","",N25)</f>
        <v/>
      </c>
      <c r="E400" s="88" t="str">
        <f>IF(O25="","",O25)</f>
        <v/>
      </c>
      <c r="F400" s="88" t="str">
        <f>IF(P25="","",P25)</f>
        <v/>
      </c>
      <c r="G400" s="89" t="str">
        <f>IF(Q25="","",Q25)</f>
        <v/>
      </c>
      <c r="H400" s="89" t="str">
        <f>IF(R25="","",R25)</f>
        <v/>
      </c>
      <c r="I400" s="88" t="str">
        <f>IF(S25="","",S25)</f>
        <v/>
      </c>
      <c r="J400" s="88" t="str">
        <f>IF(T25="","",T25)</f>
        <v/>
      </c>
      <c r="K400" s="89" t="str">
        <f>IF(U25="","",U25)</f>
        <v/>
      </c>
      <c r="L400" s="89" t="str">
        <f>IF(V25="","",V25)</f>
        <v/>
      </c>
      <c r="M400" s="85"/>
      <c r="N400" s="86"/>
      <c r="O400" s="83"/>
      <c r="P400" s="83"/>
      <c r="Q400" s="83"/>
      <c r="R400" s="83"/>
      <c r="S400" s="83"/>
      <c r="T400" s="83"/>
      <c r="U400" s="83"/>
      <c r="V400" s="84"/>
      <c r="W400" s="83"/>
      <c r="X400" s="83"/>
      <c r="Y400" s="83"/>
      <c r="Z400" s="83"/>
      <c r="AA400" s="83"/>
      <c r="AB400" s="84"/>
      <c r="AC400" s="83"/>
      <c r="AD400" s="83"/>
      <c r="AE400" s="83"/>
      <c r="AF400"/>
    </row>
    <row r="401" spans="2:32" ht="26.25" hidden="1" x14ac:dyDescent="0.4">
      <c r="B401" s="9">
        <f t="shared" si="63"/>
        <v>24</v>
      </c>
      <c r="C401" s="29" t="str">
        <f>IF((E401&amp;D401)="","",_xlfn.CONCAT("/* ",B401," */","        ","""",D401,"""",","))</f>
        <v/>
      </c>
      <c r="D401" s="59" t="str">
        <f>IF(N26="","",N26)</f>
        <v/>
      </c>
      <c r="E401" s="90" t="str">
        <f>IF(O26="","",O26)</f>
        <v/>
      </c>
      <c r="F401" s="90" t="str">
        <f>IF(P26="","",P26)</f>
        <v/>
      </c>
      <c r="G401" s="91" t="str">
        <f>IF(Q26="","",Q26)</f>
        <v/>
      </c>
      <c r="H401" s="91" t="str">
        <f>IF(R26="","",R26)</f>
        <v/>
      </c>
      <c r="I401" s="90" t="str">
        <f>IF(S26="","",S26)</f>
        <v/>
      </c>
      <c r="J401" s="90" t="str">
        <f>IF(T26="","",T26)</f>
        <v/>
      </c>
      <c r="K401" s="91" t="str">
        <f>IF(U26="","",U26)</f>
        <v/>
      </c>
      <c r="L401" s="91" t="str">
        <f>IF(V26="","",V26)</f>
        <v/>
      </c>
      <c r="M401" s="85"/>
      <c r="N401" s="86"/>
      <c r="O401" s="83"/>
      <c r="P401" s="83"/>
      <c r="Q401" s="83"/>
      <c r="R401" s="83"/>
      <c r="S401" s="83"/>
      <c r="T401" s="83"/>
      <c r="U401" s="83"/>
      <c r="V401" s="84"/>
      <c r="W401" s="83"/>
      <c r="X401" s="83"/>
      <c r="Y401" s="83"/>
      <c r="Z401" s="83"/>
      <c r="AA401" s="83"/>
      <c r="AB401" s="84"/>
      <c r="AC401" s="83"/>
      <c r="AD401" s="83"/>
      <c r="AE401" s="83"/>
      <c r="AF401"/>
    </row>
    <row r="402" spans="2:32" ht="26.25" hidden="1" x14ac:dyDescent="0.4">
      <c r="B402" s="9">
        <f t="shared" si="63"/>
        <v>25</v>
      </c>
      <c r="C402" s="29" t="str">
        <f>IF((E402&amp;D402)="","",_xlfn.CONCAT("/* ",B402," */","        ","""",D402,"""",","))</f>
        <v/>
      </c>
      <c r="D402" s="58" t="str">
        <f>IF(N27="","",N27)</f>
        <v/>
      </c>
      <c r="E402" s="88" t="str">
        <f>IF(O27="","",O27)</f>
        <v/>
      </c>
      <c r="F402" s="88" t="str">
        <f>IF(P27="","",P27)</f>
        <v/>
      </c>
      <c r="G402" s="89" t="str">
        <f>IF(Q27="","",Q27)</f>
        <v/>
      </c>
      <c r="H402" s="89" t="str">
        <f>IF(R27="","",R27)</f>
        <v/>
      </c>
      <c r="I402" s="88" t="str">
        <f>IF(S27="","",S27)</f>
        <v/>
      </c>
      <c r="J402" s="88" t="str">
        <f>IF(T27="","",T27)</f>
        <v/>
      </c>
      <c r="K402" s="89" t="str">
        <f>IF(U27="","",U27)</f>
        <v/>
      </c>
      <c r="L402" s="89" t="str">
        <f>IF(V27="","",V27)</f>
        <v/>
      </c>
      <c r="M402" s="85"/>
      <c r="N402" s="86"/>
      <c r="O402" s="83"/>
      <c r="P402" s="83"/>
      <c r="Q402" s="83"/>
      <c r="R402" s="83"/>
      <c r="S402" s="83"/>
      <c r="T402" s="83"/>
      <c r="U402" s="83"/>
      <c r="V402" s="84"/>
      <c r="W402" s="83"/>
      <c r="X402" s="83"/>
      <c r="Y402" s="83"/>
      <c r="Z402" s="83"/>
      <c r="AA402" s="83"/>
      <c r="AB402" s="84"/>
      <c r="AC402" s="83"/>
      <c r="AD402" s="83"/>
      <c r="AE402" s="83"/>
      <c r="AF402"/>
    </row>
    <row r="403" spans="2:32" ht="26.25" hidden="1" x14ac:dyDescent="0.4">
      <c r="B403" s="9">
        <f t="shared" si="63"/>
        <v>26</v>
      </c>
      <c r="C403" s="29" t="str">
        <f>IF((E403&amp;D403)="","",_xlfn.CONCAT("/* ",B403," */","        ","""",D403,"""",","))</f>
        <v/>
      </c>
      <c r="D403" s="59" t="str">
        <f>IF(N28="","",N28)</f>
        <v/>
      </c>
      <c r="E403" s="90" t="str">
        <f>IF(O28="","",O28)</f>
        <v/>
      </c>
      <c r="F403" s="90" t="str">
        <f>IF(P28="","",P28)</f>
        <v/>
      </c>
      <c r="G403" s="91" t="str">
        <f>IF(Q28="","",Q28)</f>
        <v/>
      </c>
      <c r="H403" s="91" t="str">
        <f>IF(R28="","",R28)</f>
        <v/>
      </c>
      <c r="I403" s="90" t="str">
        <f>IF(S28="","",S28)</f>
        <v/>
      </c>
      <c r="J403" s="90" t="str">
        <f>IF(T28="","",T28)</f>
        <v/>
      </c>
      <c r="K403" s="91" t="str">
        <f>IF(U28="","",U28)</f>
        <v/>
      </c>
      <c r="L403" s="91" t="str">
        <f>IF(V28="","",V28)</f>
        <v/>
      </c>
      <c r="M403" s="85"/>
      <c r="N403" s="86"/>
      <c r="O403" s="83"/>
      <c r="P403" s="83"/>
      <c r="Q403" s="83"/>
      <c r="R403" s="83"/>
      <c r="S403" s="83"/>
      <c r="T403" s="83"/>
      <c r="U403" s="83"/>
      <c r="V403" s="84"/>
      <c r="W403" s="83"/>
      <c r="X403" s="83"/>
      <c r="Y403" s="83"/>
      <c r="Z403" s="83"/>
      <c r="AA403" s="83"/>
      <c r="AB403" s="84"/>
      <c r="AC403" s="83"/>
      <c r="AD403" s="83"/>
      <c r="AE403" s="83"/>
      <c r="AF403"/>
    </row>
    <row r="404" spans="2:32" ht="26.25" hidden="1" x14ac:dyDescent="0.4">
      <c r="B404" s="9">
        <f t="shared" si="63"/>
        <v>27</v>
      </c>
      <c r="C404" s="29" t="str">
        <f>IF((E404&amp;D404)="","",_xlfn.CONCAT("/* ",B404," */","        ","""",D404,"""",","))</f>
        <v/>
      </c>
      <c r="D404" s="58" t="str">
        <f>IF(N29="","",N29)</f>
        <v/>
      </c>
      <c r="E404" s="88" t="str">
        <f>IF(O29="","",O29)</f>
        <v/>
      </c>
      <c r="F404" s="88" t="str">
        <f>IF(P29="","",P29)</f>
        <v/>
      </c>
      <c r="G404" s="89" t="str">
        <f>IF(Q29="","",Q29)</f>
        <v/>
      </c>
      <c r="H404" s="89" t="str">
        <f>IF(R29="","",R29)</f>
        <v/>
      </c>
      <c r="I404" s="88" t="str">
        <f>IF(S29="","",S29)</f>
        <v/>
      </c>
      <c r="J404" s="88" t="str">
        <f>IF(T29="","",T29)</f>
        <v/>
      </c>
      <c r="K404" s="89" t="str">
        <f>IF(U29="","",U29)</f>
        <v/>
      </c>
      <c r="L404" s="89" t="str">
        <f>IF(V29="","",V29)</f>
        <v/>
      </c>
      <c r="M404" s="85"/>
      <c r="N404" s="86"/>
      <c r="O404" s="83"/>
      <c r="P404" s="83"/>
      <c r="Q404" s="83"/>
      <c r="R404" s="83"/>
      <c r="S404" s="83"/>
      <c r="T404" s="83"/>
      <c r="U404" s="83"/>
      <c r="V404" s="84"/>
      <c r="W404" s="83"/>
      <c r="X404" s="83"/>
      <c r="Y404" s="83"/>
      <c r="Z404" s="83"/>
      <c r="AA404" s="83"/>
      <c r="AB404" s="84"/>
      <c r="AC404" s="83"/>
      <c r="AD404" s="83"/>
      <c r="AE404" s="83"/>
      <c r="AF404"/>
    </row>
    <row r="405" spans="2:32" ht="26.25" hidden="1" x14ac:dyDescent="0.4">
      <c r="B405" s="9">
        <f t="shared" si="63"/>
        <v>28</v>
      </c>
      <c r="C405" s="29" t="str">
        <f>IF((E405&amp;D405)="","",_xlfn.CONCAT("/* ",B405," */","        ","""",D405,"""",","))</f>
        <v/>
      </c>
      <c r="D405" s="59" t="str">
        <f>IF(N30="","",N30)</f>
        <v/>
      </c>
      <c r="E405" s="90" t="str">
        <f>IF(O30="","",O30)</f>
        <v/>
      </c>
      <c r="F405" s="90" t="str">
        <f>IF(P30="","",P30)</f>
        <v/>
      </c>
      <c r="G405" s="91" t="str">
        <f>IF(Q30="","",Q30)</f>
        <v/>
      </c>
      <c r="H405" s="91" t="str">
        <f>IF(R30="","",R30)</f>
        <v/>
      </c>
      <c r="I405" s="90" t="str">
        <f>IF(S30="","",S30)</f>
        <v/>
      </c>
      <c r="J405" s="90" t="str">
        <f>IF(T30="","",T30)</f>
        <v/>
      </c>
      <c r="K405" s="91" t="str">
        <f>IF(U30="","",U30)</f>
        <v/>
      </c>
      <c r="L405" s="91" t="str">
        <f>IF(V30="","",V30)</f>
        <v/>
      </c>
      <c r="M405" s="85"/>
      <c r="N405" s="86"/>
      <c r="O405" s="83"/>
      <c r="P405" s="83"/>
      <c r="Q405" s="83"/>
      <c r="R405" s="83"/>
      <c r="S405" s="83"/>
      <c r="T405" s="83"/>
      <c r="U405" s="83"/>
      <c r="V405" s="84"/>
      <c r="W405" s="83"/>
      <c r="X405" s="83"/>
      <c r="Y405" s="83"/>
      <c r="Z405" s="83"/>
      <c r="AA405" s="83"/>
      <c r="AB405" s="84"/>
      <c r="AC405" s="83"/>
      <c r="AD405" s="83"/>
      <c r="AE405" s="83"/>
      <c r="AF405"/>
    </row>
    <row r="406" spans="2:32" ht="26.25" hidden="1" x14ac:dyDescent="0.4">
      <c r="B406" s="9">
        <f t="shared" si="63"/>
        <v>29</v>
      </c>
      <c r="C406" s="29" t="str">
        <f>IF((E406&amp;D406)="","",_xlfn.CONCAT("/* ",B406," */","        ","""",D406,"""",","))</f>
        <v/>
      </c>
      <c r="D406" s="58" t="str">
        <f>IF(N31="","",N31)</f>
        <v/>
      </c>
      <c r="E406" s="88" t="str">
        <f>IF(O31="","",O31)</f>
        <v/>
      </c>
      <c r="F406" s="88" t="str">
        <f>IF(P31="","",P31)</f>
        <v/>
      </c>
      <c r="G406" s="89" t="str">
        <f>IF(Q31="","",Q31)</f>
        <v/>
      </c>
      <c r="H406" s="89" t="str">
        <f>IF(R31="","",R31)</f>
        <v/>
      </c>
      <c r="I406" s="88" t="str">
        <f>IF(S31="","",S31)</f>
        <v/>
      </c>
      <c r="J406" s="88" t="str">
        <f>IF(T31="","",T31)</f>
        <v/>
      </c>
      <c r="K406" s="89" t="str">
        <f>IF(U31="","",U31)</f>
        <v/>
      </c>
      <c r="L406" s="89" t="str">
        <f>IF(V31="","",V31)</f>
        <v/>
      </c>
      <c r="M406" s="85"/>
      <c r="N406" s="86"/>
      <c r="O406" s="83"/>
      <c r="P406" s="83"/>
      <c r="Q406" s="83"/>
      <c r="R406" s="83"/>
      <c r="S406" s="83"/>
      <c r="T406" s="83"/>
      <c r="U406" s="83"/>
      <c r="V406" s="84"/>
      <c r="W406" s="83"/>
      <c r="X406" s="83"/>
      <c r="Y406" s="83"/>
      <c r="Z406" s="83"/>
      <c r="AA406" s="83"/>
      <c r="AB406" s="84"/>
      <c r="AC406" s="83"/>
      <c r="AD406" s="83"/>
      <c r="AE406" s="83"/>
      <c r="AF406"/>
    </row>
    <row r="407" spans="2:32" ht="26.25" hidden="1" x14ac:dyDescent="0.4">
      <c r="B407" s="9">
        <f t="shared" si="63"/>
        <v>30</v>
      </c>
      <c r="C407" s="29" t="str">
        <f>IF((E407&amp;D407)="","",_xlfn.CONCAT("/* ",B407," */","        ","""",D407,"""",","))</f>
        <v/>
      </c>
      <c r="D407" s="59" t="str">
        <f>IF(N32="","",N32)</f>
        <v/>
      </c>
      <c r="E407" s="90" t="str">
        <f>IF(O32="","",O32)</f>
        <v/>
      </c>
      <c r="F407" s="90" t="str">
        <f>IF(P32="","",P32)</f>
        <v/>
      </c>
      <c r="G407" s="91" t="str">
        <f>IF(Q32="","",Q32)</f>
        <v/>
      </c>
      <c r="H407" s="91" t="str">
        <f>IF(R32="","",R32)</f>
        <v/>
      </c>
      <c r="I407" s="90" t="str">
        <f>IF(S32="","",S32)</f>
        <v/>
      </c>
      <c r="J407" s="90" t="str">
        <f>IF(T32="","",T32)</f>
        <v/>
      </c>
      <c r="K407" s="91" t="str">
        <f>IF(U32="","",U32)</f>
        <v/>
      </c>
      <c r="L407" s="91" t="str">
        <f>IF(V32="","",V32)</f>
        <v/>
      </c>
      <c r="M407" s="85"/>
      <c r="N407" s="86"/>
      <c r="O407" s="83"/>
      <c r="P407" s="83"/>
      <c r="Q407" s="83"/>
      <c r="R407" s="83"/>
      <c r="S407" s="83"/>
      <c r="T407" s="83"/>
      <c r="U407" s="83"/>
      <c r="V407" s="84"/>
      <c r="W407" s="83"/>
      <c r="X407" s="83"/>
      <c r="Y407" s="83"/>
      <c r="Z407" s="83"/>
      <c r="AA407" s="83"/>
      <c r="AB407" s="84"/>
      <c r="AC407" s="83"/>
      <c r="AD407" s="83"/>
      <c r="AE407" s="83"/>
      <c r="AF407"/>
    </row>
    <row r="408" spans="2:32" ht="26.25" hidden="1" x14ac:dyDescent="0.4">
      <c r="B408" s="9">
        <f t="shared" si="63"/>
        <v>31</v>
      </c>
      <c r="C408" s="29" t="str">
        <f>IF((E408&amp;D408)="","",_xlfn.CONCAT("/* ",B408," */","        ","""",D408,"""",","))</f>
        <v/>
      </c>
      <c r="D408" s="58" t="str">
        <f>IF(N33="","",N33)</f>
        <v/>
      </c>
      <c r="E408" s="88" t="str">
        <f>IF(O33="","",O33)</f>
        <v/>
      </c>
      <c r="F408" s="88" t="str">
        <f>IF(P33="","",P33)</f>
        <v/>
      </c>
      <c r="G408" s="89" t="str">
        <f>IF(Q33="","",Q33)</f>
        <v/>
      </c>
      <c r="H408" s="89" t="str">
        <f>IF(R33="","",R33)</f>
        <v/>
      </c>
      <c r="I408" s="88" t="str">
        <f>IF(S33="","",S33)</f>
        <v/>
      </c>
      <c r="J408" s="88" t="str">
        <f>IF(T33="","",T33)</f>
        <v/>
      </c>
      <c r="K408" s="89" t="str">
        <f>IF(U33="","",U33)</f>
        <v/>
      </c>
      <c r="L408" s="89" t="str">
        <f>IF(V33="","",V33)</f>
        <v/>
      </c>
      <c r="M408" s="85"/>
      <c r="N408" s="86"/>
      <c r="O408" s="83"/>
      <c r="P408" s="83"/>
      <c r="Q408" s="83"/>
      <c r="R408" s="83"/>
      <c r="S408" s="83"/>
      <c r="T408" s="83"/>
      <c r="U408" s="83"/>
      <c r="V408" s="84"/>
      <c r="W408" s="83"/>
      <c r="X408" s="83"/>
      <c r="Y408" s="83"/>
      <c r="Z408" s="83"/>
      <c r="AA408" s="83"/>
      <c r="AB408" s="84"/>
      <c r="AC408" s="83"/>
      <c r="AD408" s="83"/>
      <c r="AE408" s="83"/>
      <c r="AF408"/>
    </row>
    <row r="409" spans="2:32" ht="26.25" hidden="1" x14ac:dyDescent="0.4">
      <c r="B409" s="9">
        <f t="shared" si="63"/>
        <v>32</v>
      </c>
      <c r="C409" s="29" t="str">
        <f>IF((E409&amp;D409)="","",_xlfn.CONCAT("/* ",B409," */","        ","""",D409,"""",","))</f>
        <v/>
      </c>
      <c r="D409" s="59" t="str">
        <f>IF(N34="","",N34)</f>
        <v/>
      </c>
      <c r="E409" s="90" t="str">
        <f>IF(O34="","",O34)</f>
        <v/>
      </c>
      <c r="F409" s="90" t="str">
        <f>IF(P34="","",P34)</f>
        <v/>
      </c>
      <c r="G409" s="91" t="str">
        <f>IF(Q34="","",Q34)</f>
        <v/>
      </c>
      <c r="H409" s="91" t="str">
        <f>IF(R34="","",R34)</f>
        <v/>
      </c>
      <c r="I409" s="90" t="str">
        <f>IF(S34="","",S34)</f>
        <v/>
      </c>
      <c r="J409" s="90" t="str">
        <f>IF(T34="","",T34)</f>
        <v/>
      </c>
      <c r="K409" s="91" t="str">
        <f>IF(U34="","",U34)</f>
        <v/>
      </c>
      <c r="L409" s="91" t="str">
        <f>IF(V34="","",V34)</f>
        <v/>
      </c>
      <c r="M409" s="85"/>
      <c r="N409" s="86"/>
      <c r="O409" s="83"/>
      <c r="P409" s="83"/>
      <c r="Q409" s="83"/>
      <c r="R409" s="83"/>
      <c r="S409" s="83"/>
      <c r="T409" s="83"/>
      <c r="U409" s="83"/>
      <c r="V409" s="84"/>
      <c r="W409" s="83"/>
      <c r="X409" s="83"/>
      <c r="Y409" s="83"/>
      <c r="Z409" s="83"/>
      <c r="AA409" s="83"/>
      <c r="AB409" s="84"/>
      <c r="AC409" s="83"/>
      <c r="AD409" s="83"/>
      <c r="AE409" s="83"/>
      <c r="AF409"/>
    </row>
    <row r="410" spans="2:32" ht="26.25" hidden="1" x14ac:dyDescent="0.4">
      <c r="B410" s="9">
        <f t="shared" si="63"/>
        <v>33</v>
      </c>
      <c r="C410" s="29" t="str">
        <f>IF((E410&amp;D410)="","",_xlfn.CONCAT("/* ",B410," */","        ","""",D410,"""",","))</f>
        <v/>
      </c>
      <c r="D410" s="58" t="str">
        <f>IF(N35="","",N35)</f>
        <v/>
      </c>
      <c r="E410" s="88" t="str">
        <f>IF(O35="","",O35)</f>
        <v/>
      </c>
      <c r="F410" s="88" t="str">
        <f>IF(P35="","",P35)</f>
        <v/>
      </c>
      <c r="G410" s="89" t="str">
        <f>IF(Q35="","",Q35)</f>
        <v/>
      </c>
      <c r="H410" s="89" t="str">
        <f>IF(R35="","",R35)</f>
        <v/>
      </c>
      <c r="I410" s="88" t="str">
        <f>IF(S35="","",S35)</f>
        <v/>
      </c>
      <c r="J410" s="88" t="str">
        <f>IF(T35="","",T35)</f>
        <v/>
      </c>
      <c r="K410" s="89" t="str">
        <f>IF(U35="","",U35)</f>
        <v/>
      </c>
      <c r="L410" s="89" t="str">
        <f>IF(V35="","",V35)</f>
        <v/>
      </c>
      <c r="M410" s="85"/>
      <c r="N410" s="86"/>
      <c r="O410" s="83"/>
      <c r="P410" s="83"/>
      <c r="Q410" s="83"/>
      <c r="R410" s="83"/>
      <c r="S410" s="83"/>
      <c r="T410" s="83"/>
      <c r="U410" s="83"/>
      <c r="V410" s="84"/>
      <c r="W410" s="83"/>
      <c r="X410" s="83"/>
      <c r="Y410" s="83"/>
      <c r="Z410" s="83"/>
      <c r="AA410" s="83"/>
      <c r="AB410" s="84"/>
      <c r="AC410" s="83"/>
      <c r="AD410" s="83"/>
      <c r="AE410" s="83"/>
      <c r="AF410"/>
    </row>
    <row r="411" spans="2:32" ht="26.25" hidden="1" x14ac:dyDescent="0.4">
      <c r="B411" s="9">
        <f t="shared" si="63"/>
        <v>34</v>
      </c>
      <c r="C411" s="29" t="str">
        <f>IF((E411&amp;D411)="","",_xlfn.CONCAT("/* ",B411," */","        ","""",D411,"""",","))</f>
        <v/>
      </c>
      <c r="D411" s="59" t="str">
        <f>IF(N36="","",N36)</f>
        <v/>
      </c>
      <c r="E411" s="90" t="str">
        <f>IF(O36="","",O36)</f>
        <v/>
      </c>
      <c r="F411" s="90" t="str">
        <f>IF(P36="","",P36)</f>
        <v/>
      </c>
      <c r="G411" s="91" t="str">
        <f>IF(Q36="","",Q36)</f>
        <v/>
      </c>
      <c r="H411" s="91" t="str">
        <f>IF(R36="","",R36)</f>
        <v/>
      </c>
      <c r="I411" s="90" t="str">
        <f>IF(S36="","",S36)</f>
        <v/>
      </c>
      <c r="J411" s="90" t="str">
        <f>IF(T36="","",T36)</f>
        <v/>
      </c>
      <c r="K411" s="91" t="str">
        <f>IF(U36="","",U36)</f>
        <v/>
      </c>
      <c r="L411" s="91" t="str">
        <f>IF(V36="","",V36)</f>
        <v/>
      </c>
      <c r="M411" s="85"/>
      <c r="N411" s="86"/>
      <c r="O411" s="83"/>
      <c r="P411" s="83"/>
      <c r="Q411" s="83"/>
      <c r="R411" s="83"/>
      <c r="S411" s="83"/>
      <c r="T411" s="83"/>
      <c r="U411" s="83"/>
      <c r="V411" s="84"/>
      <c r="W411" s="83"/>
      <c r="X411" s="83"/>
      <c r="Y411" s="83"/>
      <c r="Z411" s="83"/>
      <c r="AA411" s="83"/>
      <c r="AB411" s="84"/>
      <c r="AC411" s="83"/>
      <c r="AD411" s="83"/>
      <c r="AE411" s="83"/>
      <c r="AF411"/>
    </row>
    <row r="412" spans="2:32" ht="26.25" hidden="1" x14ac:dyDescent="0.4">
      <c r="B412" s="9">
        <f t="shared" si="63"/>
        <v>35</v>
      </c>
      <c r="C412" s="29" t="str">
        <f>IF((E412&amp;D412)="","",_xlfn.CONCAT("/* ",B412," */","        ","""",D412,"""",","))</f>
        <v/>
      </c>
      <c r="D412" s="58" t="str">
        <f>IF(N37="","",N37)</f>
        <v/>
      </c>
      <c r="E412" s="88" t="str">
        <f>IF(O37="","",O37)</f>
        <v/>
      </c>
      <c r="F412" s="88" t="str">
        <f>IF(P37="","",P37)</f>
        <v/>
      </c>
      <c r="G412" s="89" t="str">
        <f>IF(Q37="","",Q37)</f>
        <v/>
      </c>
      <c r="H412" s="89" t="str">
        <f>IF(R37="","",R37)</f>
        <v/>
      </c>
      <c r="I412" s="88" t="str">
        <f>IF(S37="","",S37)</f>
        <v/>
      </c>
      <c r="J412" s="88" t="str">
        <f>IF(T37="","",T37)</f>
        <v/>
      </c>
      <c r="K412" s="89" t="str">
        <f>IF(U37="","",U37)</f>
        <v/>
      </c>
      <c r="L412" s="89" t="str">
        <f>IF(V37="","",V37)</f>
        <v/>
      </c>
      <c r="M412" s="85"/>
      <c r="N412" s="86"/>
      <c r="O412" s="83"/>
      <c r="P412" s="83"/>
      <c r="Q412" s="83"/>
      <c r="R412" s="83"/>
      <c r="S412" s="83"/>
      <c r="T412" s="83"/>
      <c r="U412" s="83"/>
      <c r="V412" s="84"/>
      <c r="W412" s="83"/>
      <c r="X412" s="83"/>
      <c r="Y412" s="83"/>
      <c r="Z412" s="83"/>
      <c r="AA412" s="83"/>
      <c r="AB412" s="84"/>
      <c r="AC412" s="83"/>
      <c r="AD412" s="83"/>
      <c r="AE412" s="83"/>
      <c r="AF412"/>
    </row>
    <row r="413" spans="2:32" ht="26.25" hidden="1" x14ac:dyDescent="0.4">
      <c r="B413" s="9">
        <f t="shared" si="63"/>
        <v>36</v>
      </c>
      <c r="C413" s="29" t="str">
        <f>IF((E413&amp;D413)="","",_xlfn.CONCAT("/* ",B413," */","        ","""",D413,"""",","))</f>
        <v/>
      </c>
      <c r="D413" s="59" t="str">
        <f>IF(N38="","",N38)</f>
        <v/>
      </c>
      <c r="E413" s="90" t="str">
        <f>IF(O38="","",O38)</f>
        <v/>
      </c>
      <c r="F413" s="90" t="str">
        <f>IF(P38="","",P38)</f>
        <v/>
      </c>
      <c r="G413" s="91" t="str">
        <f>IF(Q38="","",Q38)</f>
        <v/>
      </c>
      <c r="H413" s="91" t="str">
        <f>IF(R38="","",R38)</f>
        <v/>
      </c>
      <c r="I413" s="90" t="str">
        <f>IF(S38="","",S38)</f>
        <v/>
      </c>
      <c r="J413" s="90" t="str">
        <f>IF(T38="","",T38)</f>
        <v/>
      </c>
      <c r="K413" s="91" t="str">
        <f>IF(U38="","",U38)</f>
        <v/>
      </c>
      <c r="L413" s="91" t="str">
        <f>IF(V38="","",V38)</f>
        <v/>
      </c>
      <c r="M413" s="85"/>
      <c r="N413" s="86"/>
      <c r="O413" s="83"/>
      <c r="P413" s="83"/>
      <c r="Q413" s="83"/>
      <c r="R413" s="83"/>
      <c r="S413" s="83"/>
      <c r="T413" s="83"/>
      <c r="U413" s="83"/>
      <c r="V413" s="84"/>
      <c r="W413" s="83"/>
      <c r="X413" s="83"/>
      <c r="Y413" s="83"/>
      <c r="Z413" s="83"/>
      <c r="AA413" s="83"/>
      <c r="AB413" s="84"/>
      <c r="AC413" s="83"/>
      <c r="AD413" s="83"/>
      <c r="AE413" s="83"/>
      <c r="AF413"/>
    </row>
    <row r="414" spans="2:32" ht="26.25" hidden="1" x14ac:dyDescent="0.4">
      <c r="B414" s="9">
        <f t="shared" si="63"/>
        <v>37</v>
      </c>
      <c r="C414" s="29" t="str">
        <f>IF((E414&amp;D414)="","",_xlfn.CONCAT("/* ",B414," */","        ","""",D414,"""",","))</f>
        <v/>
      </c>
      <c r="D414" s="58" t="str">
        <f>IF(N39="","",N39)</f>
        <v/>
      </c>
      <c r="E414" s="88" t="str">
        <f>IF(O39="","",O39)</f>
        <v/>
      </c>
      <c r="F414" s="88" t="str">
        <f>IF(P39="","",P39)</f>
        <v/>
      </c>
      <c r="G414" s="89" t="str">
        <f>IF(Q39="","",Q39)</f>
        <v/>
      </c>
      <c r="H414" s="89" t="str">
        <f>IF(R39="","",R39)</f>
        <v/>
      </c>
      <c r="I414" s="88" t="str">
        <f>IF(S39="","",S39)</f>
        <v/>
      </c>
      <c r="J414" s="88" t="str">
        <f>IF(T39="","",T39)</f>
        <v/>
      </c>
      <c r="K414" s="89" t="str">
        <f>IF(U39="","",U39)</f>
        <v/>
      </c>
      <c r="L414" s="89" t="str">
        <f>IF(V39="","",V39)</f>
        <v/>
      </c>
      <c r="M414" s="85"/>
      <c r="N414" s="86"/>
      <c r="O414" s="83"/>
      <c r="P414" s="83"/>
      <c r="Q414" s="83"/>
      <c r="R414" s="83"/>
      <c r="S414" s="83"/>
      <c r="T414" s="83"/>
      <c r="U414" s="83"/>
      <c r="V414" s="84"/>
      <c r="W414" s="83"/>
      <c r="X414" s="83"/>
      <c r="Y414" s="83"/>
      <c r="Z414" s="83"/>
      <c r="AA414" s="83"/>
      <c r="AB414" s="84"/>
      <c r="AC414" s="83"/>
      <c r="AD414" s="83"/>
      <c r="AE414" s="83"/>
      <c r="AF414"/>
    </row>
    <row r="415" spans="2:32" ht="26.25" hidden="1" x14ac:dyDescent="0.4">
      <c r="B415" s="9">
        <f t="shared" si="63"/>
        <v>38</v>
      </c>
      <c r="C415" s="29" t="str">
        <f>IF((E415&amp;D415)="","",_xlfn.CONCAT("/* ",B415," */","        ","""",D415,"""",","))</f>
        <v/>
      </c>
      <c r="D415" s="59" t="str">
        <f>IF(N40="","",N40)</f>
        <v/>
      </c>
      <c r="E415" s="90" t="str">
        <f>IF(O40="","",O40)</f>
        <v/>
      </c>
      <c r="F415" s="90" t="str">
        <f>IF(P40="","",P40)</f>
        <v/>
      </c>
      <c r="G415" s="91" t="str">
        <f>IF(Q40="","",Q40)</f>
        <v/>
      </c>
      <c r="H415" s="91" t="str">
        <f>IF(R40="","",R40)</f>
        <v/>
      </c>
      <c r="I415" s="90" t="str">
        <f>IF(S40="","",S40)</f>
        <v/>
      </c>
      <c r="J415" s="90" t="str">
        <f>IF(T40="","",T40)</f>
        <v/>
      </c>
      <c r="K415" s="91" t="str">
        <f>IF(U40="","",U40)</f>
        <v/>
      </c>
      <c r="L415" s="91" t="str">
        <f>IF(V40="","",V40)</f>
        <v/>
      </c>
      <c r="M415" s="85"/>
      <c r="N415" s="86"/>
      <c r="O415" s="83"/>
      <c r="P415" s="83"/>
      <c r="Q415" s="83"/>
      <c r="R415" s="83"/>
      <c r="S415" s="83"/>
      <c r="T415" s="83"/>
      <c r="U415" s="83"/>
      <c r="V415" s="84"/>
      <c r="W415" s="83"/>
      <c r="X415" s="83"/>
      <c r="Y415" s="83"/>
      <c r="Z415" s="83"/>
      <c r="AA415" s="83"/>
      <c r="AB415" s="84"/>
      <c r="AC415" s="83"/>
      <c r="AD415" s="83"/>
      <c r="AE415" s="83"/>
      <c r="AF415"/>
    </row>
    <row r="416" spans="2:32" ht="26.25" hidden="1" x14ac:dyDescent="0.4">
      <c r="B416" s="9">
        <f t="shared" si="63"/>
        <v>39</v>
      </c>
      <c r="C416" s="29" t="str">
        <f>IF((E416&amp;D416)="","",_xlfn.CONCAT("/* ",B416," */","        ","""",D416,"""",","))</f>
        <v/>
      </c>
      <c r="D416" s="58" t="str">
        <f>IF(N41="","",N41)</f>
        <v/>
      </c>
      <c r="E416" s="88" t="str">
        <f>IF(O41="","",O41)</f>
        <v/>
      </c>
      <c r="F416" s="88" t="str">
        <f>IF(P41="","",P41)</f>
        <v/>
      </c>
      <c r="G416" s="89" t="str">
        <f>IF(Q41="","",Q41)</f>
        <v/>
      </c>
      <c r="H416" s="89" t="str">
        <f>IF(R41="","",R41)</f>
        <v/>
      </c>
      <c r="I416" s="88" t="str">
        <f>IF(S41="","",S41)</f>
        <v/>
      </c>
      <c r="J416" s="88" t="str">
        <f>IF(T41="","",T41)</f>
        <v/>
      </c>
      <c r="K416" s="89" t="str">
        <f>IF(U41="","",U41)</f>
        <v/>
      </c>
      <c r="L416" s="89" t="str">
        <f>IF(V41="","",V41)</f>
        <v/>
      </c>
      <c r="M416" s="85"/>
      <c r="N416" s="86"/>
      <c r="O416" s="83"/>
      <c r="P416" s="83"/>
      <c r="Q416" s="83"/>
      <c r="R416" s="83"/>
      <c r="S416" s="83"/>
      <c r="T416" s="83"/>
      <c r="U416" s="83"/>
      <c r="V416" s="84"/>
      <c r="W416" s="83"/>
      <c r="X416" s="83"/>
      <c r="Y416" s="83"/>
      <c r="Z416" s="83"/>
      <c r="AA416" s="83"/>
      <c r="AB416" s="84"/>
      <c r="AC416" s="83"/>
      <c r="AD416" s="83"/>
      <c r="AE416" s="83"/>
      <c r="AF416"/>
    </row>
    <row r="417" spans="2:32" ht="26.25" hidden="1" x14ac:dyDescent="0.4">
      <c r="B417" s="9">
        <f t="shared" si="63"/>
        <v>40</v>
      </c>
      <c r="C417" s="29" t="str">
        <f>IF((E417&amp;D417)="","",_xlfn.CONCAT("/* ",B417," */","        ","""",D417,"""",","))</f>
        <v/>
      </c>
      <c r="D417" s="59" t="str">
        <f>IF(N42="","",N42)</f>
        <v/>
      </c>
      <c r="E417" s="90" t="str">
        <f>IF(O42="","",O42)</f>
        <v/>
      </c>
      <c r="F417" s="90" t="str">
        <f>IF(P42="","",P42)</f>
        <v/>
      </c>
      <c r="G417" s="91" t="str">
        <f>IF(Q42="","",Q42)</f>
        <v/>
      </c>
      <c r="H417" s="91" t="str">
        <f>IF(R42="","",R42)</f>
        <v/>
      </c>
      <c r="I417" s="90" t="str">
        <f>IF(S42="","",S42)</f>
        <v/>
      </c>
      <c r="J417" s="90" t="str">
        <f>IF(T42="","",T42)</f>
        <v/>
      </c>
      <c r="K417" s="91" t="str">
        <f>IF(U42="","",U42)</f>
        <v/>
      </c>
      <c r="L417" s="91" t="str">
        <f>IF(V42="","",V42)</f>
        <v/>
      </c>
      <c r="M417" s="85"/>
      <c r="N417" s="86"/>
      <c r="O417" s="83"/>
      <c r="P417" s="83"/>
      <c r="Q417" s="83"/>
      <c r="R417" s="83"/>
      <c r="S417" s="83"/>
      <c r="T417" s="83"/>
      <c r="U417" s="83"/>
      <c r="V417" s="84"/>
      <c r="W417" s="83"/>
      <c r="X417" s="83"/>
      <c r="Y417" s="83"/>
      <c r="Z417" s="83"/>
      <c r="AA417" s="83"/>
      <c r="AB417" s="84"/>
      <c r="AC417" s="83"/>
      <c r="AD417" s="83"/>
      <c r="AE417" s="83"/>
      <c r="AF417"/>
    </row>
    <row r="418" spans="2:32" ht="26.25" hidden="1" x14ac:dyDescent="0.4">
      <c r="B418" s="9">
        <f t="shared" si="63"/>
        <v>41</v>
      </c>
      <c r="C418" s="29" t="str">
        <f>IF((E418&amp;D418)="","",_xlfn.CONCAT("/* ",B418," */","        ","""",D418,"""",","))</f>
        <v/>
      </c>
      <c r="D418" s="58" t="str">
        <f>IF(N43="","",N43)</f>
        <v/>
      </c>
      <c r="E418" s="88" t="str">
        <f>IF(O43="","",O43)</f>
        <v/>
      </c>
      <c r="F418" s="88" t="str">
        <f>IF(P43="","",P43)</f>
        <v/>
      </c>
      <c r="G418" s="89" t="str">
        <f>IF(Q43="","",Q43)</f>
        <v/>
      </c>
      <c r="H418" s="89" t="str">
        <f>IF(R43="","",R43)</f>
        <v/>
      </c>
      <c r="I418" s="88" t="str">
        <f>IF(S43="","",S43)</f>
        <v/>
      </c>
      <c r="J418" s="88" t="str">
        <f>IF(T43="","",T43)</f>
        <v/>
      </c>
      <c r="K418" s="89" t="str">
        <f>IF(U43="","",U43)</f>
        <v/>
      </c>
      <c r="L418" s="89" t="str">
        <f>IF(V43="","",V43)</f>
        <v/>
      </c>
      <c r="M418" s="85"/>
      <c r="N418" s="86"/>
      <c r="O418" s="83"/>
      <c r="P418" s="83"/>
      <c r="Q418" s="83"/>
      <c r="R418" s="83"/>
      <c r="S418" s="83"/>
      <c r="T418" s="83"/>
      <c r="U418" s="83"/>
      <c r="V418" s="84"/>
      <c r="W418" s="83"/>
      <c r="X418" s="83"/>
      <c r="Y418" s="83"/>
      <c r="Z418" s="83"/>
      <c r="AA418" s="83"/>
      <c r="AB418" s="84"/>
      <c r="AC418" s="83"/>
      <c r="AD418" s="83"/>
      <c r="AE418" s="83"/>
      <c r="AF418"/>
    </row>
    <row r="419" spans="2:32" ht="26.25" hidden="1" x14ac:dyDescent="0.4">
      <c r="B419" s="9">
        <f t="shared" si="63"/>
        <v>42</v>
      </c>
      <c r="C419" s="29" t="str">
        <f>IF((E419&amp;D419)="","",_xlfn.CONCAT("/* ",B419," */","        ","""",D419,"""",","))</f>
        <v/>
      </c>
      <c r="D419" s="59" t="str">
        <f>IF(N44="","",N44)</f>
        <v/>
      </c>
      <c r="E419" s="90" t="str">
        <f>IF(O44="","",O44)</f>
        <v/>
      </c>
      <c r="F419" s="90" t="str">
        <f>IF(P44="","",P44)</f>
        <v/>
      </c>
      <c r="G419" s="91" t="str">
        <f>IF(Q44="","",Q44)</f>
        <v/>
      </c>
      <c r="H419" s="91" t="str">
        <f>IF(R44="","",R44)</f>
        <v/>
      </c>
      <c r="I419" s="90" t="str">
        <f>IF(S44="","",S44)</f>
        <v/>
      </c>
      <c r="J419" s="90" t="str">
        <f>IF(T44="","",T44)</f>
        <v/>
      </c>
      <c r="K419" s="91" t="str">
        <f>IF(U44="","",U44)</f>
        <v/>
      </c>
      <c r="L419" s="91" t="str">
        <f>IF(V44="","",V44)</f>
        <v/>
      </c>
      <c r="M419" s="85"/>
      <c r="N419" s="86"/>
      <c r="O419" s="83"/>
      <c r="P419" s="83"/>
      <c r="Q419" s="83"/>
      <c r="R419" s="83"/>
      <c r="S419" s="83"/>
      <c r="T419" s="83"/>
      <c r="U419" s="83"/>
      <c r="V419" s="84"/>
      <c r="W419" s="83"/>
      <c r="X419" s="83"/>
      <c r="Y419" s="83"/>
      <c r="Z419" s="83"/>
      <c r="AA419" s="83"/>
      <c r="AB419" s="84"/>
      <c r="AC419" s="83"/>
      <c r="AD419" s="83"/>
      <c r="AE419" s="83"/>
      <c r="AF419"/>
    </row>
    <row r="420" spans="2:32" ht="26.25" hidden="1" x14ac:dyDescent="0.4">
      <c r="B420" s="9">
        <f t="shared" si="63"/>
        <v>43</v>
      </c>
      <c r="C420" s="29" t="str">
        <f t="shared" ref="C420:C478" si="64">IF((E420&amp;D420)="","",_xlfn.CONCAT("/* ",B420," */","        ","""",D420,"""",","))</f>
        <v/>
      </c>
      <c r="D420" s="58" t="str">
        <f>IF(N45="","",N45)</f>
        <v/>
      </c>
      <c r="E420" s="88" t="str">
        <f>IF(O45="","",O45)</f>
        <v/>
      </c>
      <c r="F420" s="88" t="str">
        <f>IF(P45="","",P45)</f>
        <v/>
      </c>
      <c r="G420" s="89" t="str">
        <f>IF(Q45="","",Q45)</f>
        <v/>
      </c>
      <c r="H420" s="89" t="str">
        <f>IF(R45="","",R45)</f>
        <v/>
      </c>
      <c r="I420" s="88" t="str">
        <f>IF(S45="","",S45)</f>
        <v/>
      </c>
      <c r="J420" s="88" t="str">
        <f>IF(T45="","",T45)</f>
        <v/>
      </c>
      <c r="K420" s="89" t="str">
        <f>IF(U45="","",U45)</f>
        <v/>
      </c>
      <c r="L420" s="89" t="str">
        <f>IF(V45="","",V45)</f>
        <v/>
      </c>
      <c r="M420" s="85"/>
      <c r="N420" s="86"/>
      <c r="O420" s="83"/>
      <c r="P420" s="83"/>
      <c r="Q420" s="83"/>
      <c r="R420" s="83"/>
      <c r="S420" s="83"/>
      <c r="T420" s="83"/>
      <c r="U420" s="83"/>
      <c r="V420" s="84"/>
      <c r="W420" s="83"/>
      <c r="X420" s="83"/>
      <c r="Y420" s="83"/>
      <c r="Z420" s="83"/>
      <c r="AA420" s="83"/>
      <c r="AB420" s="84"/>
      <c r="AC420" s="83"/>
      <c r="AD420" s="83"/>
      <c r="AE420" s="83"/>
      <c r="AF420"/>
    </row>
    <row r="421" spans="2:32" ht="26.25" hidden="1" x14ac:dyDescent="0.4">
      <c r="B421" s="9">
        <f t="shared" si="63"/>
        <v>44</v>
      </c>
      <c r="C421" s="29" t="str">
        <f t="shared" si="64"/>
        <v/>
      </c>
      <c r="D421" s="59" t="str">
        <f>IF(N46="","",N46)</f>
        <v/>
      </c>
      <c r="E421" s="90" t="str">
        <f>IF(O46="","",O46)</f>
        <v/>
      </c>
      <c r="F421" s="90" t="str">
        <f>IF(P46="","",P46)</f>
        <v/>
      </c>
      <c r="G421" s="91" t="str">
        <f>IF(Q46="","",Q46)</f>
        <v/>
      </c>
      <c r="H421" s="91" t="str">
        <f>IF(R46="","",R46)</f>
        <v/>
      </c>
      <c r="I421" s="90" t="str">
        <f>IF(S46="","",S46)</f>
        <v/>
      </c>
      <c r="J421" s="90" t="str">
        <f>IF(T46="","",T46)</f>
        <v/>
      </c>
      <c r="K421" s="91" t="str">
        <f>IF(U46="","",U46)</f>
        <v/>
      </c>
      <c r="L421" s="91" t="str">
        <f>IF(V46="","",V46)</f>
        <v/>
      </c>
      <c r="M421" s="85"/>
      <c r="N421" s="86"/>
      <c r="O421" s="83"/>
      <c r="P421" s="83"/>
      <c r="Q421" s="83"/>
      <c r="R421" s="83"/>
      <c r="S421" s="83"/>
      <c r="T421" s="83"/>
      <c r="U421" s="83"/>
      <c r="V421" s="84"/>
      <c r="W421" s="83"/>
      <c r="X421" s="83"/>
      <c r="Y421" s="83"/>
      <c r="Z421" s="83"/>
      <c r="AA421" s="83"/>
      <c r="AB421" s="84"/>
      <c r="AC421" s="83"/>
      <c r="AD421" s="83"/>
      <c r="AE421" s="83"/>
      <c r="AF421"/>
    </row>
    <row r="422" spans="2:32" ht="26.25" hidden="1" x14ac:dyDescent="0.4">
      <c r="B422" s="9">
        <f t="shared" si="63"/>
        <v>45</v>
      </c>
      <c r="C422" s="29" t="str">
        <f t="shared" si="64"/>
        <v/>
      </c>
      <c r="D422" s="58" t="str">
        <f>IF(N47="","",N47)</f>
        <v/>
      </c>
      <c r="E422" s="88" t="str">
        <f>IF(O47="","",O47)</f>
        <v/>
      </c>
      <c r="F422" s="88" t="str">
        <f>IF(P47="","",P47)</f>
        <v/>
      </c>
      <c r="G422" s="89" t="str">
        <f>IF(Q47="","",Q47)</f>
        <v/>
      </c>
      <c r="H422" s="89" t="str">
        <f>IF(R47="","",R47)</f>
        <v/>
      </c>
      <c r="I422" s="88" t="str">
        <f>IF(S47="","",S47)</f>
        <v/>
      </c>
      <c r="J422" s="88" t="str">
        <f>IF(T47="","",T47)</f>
        <v/>
      </c>
      <c r="K422" s="89" t="str">
        <f>IF(U47="","",U47)</f>
        <v/>
      </c>
      <c r="L422" s="89" t="str">
        <f>IF(V47="","",V47)</f>
        <v/>
      </c>
      <c r="M422" s="85"/>
      <c r="N422" s="86"/>
      <c r="O422" s="83"/>
      <c r="P422" s="83"/>
      <c r="Q422" s="83"/>
      <c r="R422" s="83"/>
      <c r="S422" s="83"/>
      <c r="T422" s="83"/>
      <c r="U422" s="83"/>
      <c r="V422" s="84"/>
      <c r="W422" s="83"/>
      <c r="X422" s="83"/>
      <c r="Y422" s="83"/>
      <c r="Z422" s="83"/>
      <c r="AA422" s="83"/>
      <c r="AB422" s="84"/>
      <c r="AC422" s="83"/>
      <c r="AD422" s="83"/>
      <c r="AE422" s="83"/>
      <c r="AF422"/>
    </row>
    <row r="423" spans="2:32" ht="26.25" hidden="1" x14ac:dyDescent="0.4">
      <c r="B423" s="9">
        <f t="shared" si="63"/>
        <v>46</v>
      </c>
      <c r="C423" s="29" t="str">
        <f t="shared" si="64"/>
        <v/>
      </c>
      <c r="D423" s="59" t="str">
        <f>IF(N48="","",N48)</f>
        <v/>
      </c>
      <c r="E423" s="90" t="str">
        <f>IF(O48="","",O48)</f>
        <v/>
      </c>
      <c r="F423" s="90" t="str">
        <f>IF(P48="","",P48)</f>
        <v/>
      </c>
      <c r="G423" s="91" t="str">
        <f>IF(Q48="","",Q48)</f>
        <v/>
      </c>
      <c r="H423" s="91" t="str">
        <f>IF(R48="","",R48)</f>
        <v/>
      </c>
      <c r="I423" s="90" t="str">
        <f>IF(S48="","",S48)</f>
        <v/>
      </c>
      <c r="J423" s="90" t="str">
        <f>IF(T48="","",T48)</f>
        <v/>
      </c>
      <c r="K423" s="91" t="str">
        <f>IF(U48="","",U48)</f>
        <v/>
      </c>
      <c r="L423" s="91" t="str">
        <f>IF(V48="","",V48)</f>
        <v/>
      </c>
      <c r="M423" s="85"/>
      <c r="N423" s="86"/>
      <c r="O423" s="83"/>
      <c r="P423" s="83"/>
      <c r="Q423" s="83"/>
      <c r="R423" s="83"/>
      <c r="S423" s="83"/>
      <c r="T423" s="83"/>
      <c r="U423" s="83"/>
      <c r="V423" s="84"/>
      <c r="W423" s="83"/>
      <c r="X423" s="83"/>
      <c r="Y423" s="83"/>
      <c r="Z423" s="83"/>
      <c r="AA423" s="83"/>
      <c r="AB423" s="84"/>
      <c r="AC423" s="83"/>
      <c r="AD423" s="83"/>
      <c r="AE423" s="83"/>
      <c r="AF423"/>
    </row>
    <row r="424" spans="2:32" ht="26.25" hidden="1" x14ac:dyDescent="0.4">
      <c r="B424" s="9">
        <f t="shared" si="63"/>
        <v>47</v>
      </c>
      <c r="C424" s="29" t="str">
        <f t="shared" si="64"/>
        <v/>
      </c>
      <c r="D424" s="58" t="str">
        <f>IF(N49="","",N49)</f>
        <v/>
      </c>
      <c r="E424" s="88" t="str">
        <f>IF(O49="","",O49)</f>
        <v/>
      </c>
      <c r="F424" s="88" t="str">
        <f>IF(P49="","",P49)</f>
        <v/>
      </c>
      <c r="G424" s="89" t="str">
        <f>IF(Q49="","",Q49)</f>
        <v/>
      </c>
      <c r="H424" s="89" t="str">
        <f>IF(R49="","",R49)</f>
        <v/>
      </c>
      <c r="I424" s="88" t="str">
        <f>IF(S49="","",S49)</f>
        <v/>
      </c>
      <c r="J424" s="88" t="str">
        <f>IF(T49="","",T49)</f>
        <v/>
      </c>
      <c r="K424" s="89" t="str">
        <f>IF(U49="","",U49)</f>
        <v/>
      </c>
      <c r="L424" s="89" t="str">
        <f>IF(V49="","",V49)</f>
        <v/>
      </c>
      <c r="M424" s="85"/>
      <c r="N424" s="86"/>
      <c r="O424" s="83"/>
      <c r="P424" s="83"/>
      <c r="Q424" s="83"/>
      <c r="R424" s="83"/>
      <c r="S424" s="83"/>
      <c r="T424" s="83"/>
      <c r="U424" s="83"/>
      <c r="V424" s="84"/>
      <c r="W424" s="83"/>
      <c r="X424" s="83"/>
      <c r="Y424" s="83"/>
      <c r="Z424" s="83"/>
      <c r="AA424" s="83"/>
      <c r="AB424" s="84"/>
      <c r="AC424" s="83"/>
      <c r="AD424" s="83"/>
      <c r="AE424" s="83"/>
      <c r="AF424"/>
    </row>
    <row r="425" spans="2:32" ht="26.25" hidden="1" x14ac:dyDescent="0.4">
      <c r="B425" s="9">
        <f t="shared" si="63"/>
        <v>48</v>
      </c>
      <c r="C425" s="29" t="str">
        <f t="shared" si="64"/>
        <v/>
      </c>
      <c r="D425" s="59" t="str">
        <f>IF(N50="","",N50)</f>
        <v/>
      </c>
      <c r="E425" s="90" t="str">
        <f>IF(O50="","",O50)</f>
        <v/>
      </c>
      <c r="F425" s="90" t="str">
        <f>IF(P50="","",P50)</f>
        <v/>
      </c>
      <c r="G425" s="91" t="str">
        <f>IF(Q50="","",Q50)</f>
        <v/>
      </c>
      <c r="H425" s="91" t="str">
        <f>IF(R50="","",R50)</f>
        <v/>
      </c>
      <c r="I425" s="90" t="str">
        <f>IF(S50="","",S50)</f>
        <v/>
      </c>
      <c r="J425" s="90" t="str">
        <f>IF(T50="","",T50)</f>
        <v/>
      </c>
      <c r="K425" s="91" t="str">
        <f>IF(U50="","",U50)</f>
        <v/>
      </c>
      <c r="L425" s="91" t="str">
        <f>IF(V50="","",V50)</f>
        <v/>
      </c>
      <c r="M425" s="85"/>
      <c r="N425" s="86"/>
      <c r="O425" s="83"/>
      <c r="P425" s="83"/>
      <c r="Q425" s="83"/>
      <c r="R425" s="83"/>
      <c r="S425" s="83"/>
      <c r="T425" s="83"/>
      <c r="U425" s="83"/>
      <c r="V425" s="84"/>
      <c r="W425" s="83"/>
      <c r="X425" s="83"/>
      <c r="Y425" s="83"/>
      <c r="Z425" s="83"/>
      <c r="AA425" s="83"/>
      <c r="AB425" s="84"/>
      <c r="AC425" s="83"/>
      <c r="AD425" s="83"/>
      <c r="AE425" s="83"/>
      <c r="AF425"/>
    </row>
    <row r="426" spans="2:32" ht="26.25" hidden="1" x14ac:dyDescent="0.4">
      <c r="B426" s="9">
        <f t="shared" si="63"/>
        <v>49</v>
      </c>
      <c r="C426" s="29" t="str">
        <f t="shared" si="64"/>
        <v/>
      </c>
      <c r="D426" s="58" t="str">
        <f>IF(N51="","",N51)</f>
        <v/>
      </c>
      <c r="E426" s="88" t="str">
        <f>IF(O51="","",O51)</f>
        <v/>
      </c>
      <c r="F426" s="88" t="str">
        <f>IF(P51="","",P51)</f>
        <v/>
      </c>
      <c r="G426" s="89" t="str">
        <f>IF(Q51="","",Q51)</f>
        <v/>
      </c>
      <c r="H426" s="89" t="str">
        <f>IF(R51="","",R51)</f>
        <v/>
      </c>
      <c r="I426" s="88" t="str">
        <f>IF(S51="","",S51)</f>
        <v/>
      </c>
      <c r="J426" s="88" t="str">
        <f>IF(T51="","",T51)</f>
        <v/>
      </c>
      <c r="K426" s="89" t="str">
        <f>IF(U51="","",U51)</f>
        <v/>
      </c>
      <c r="L426" s="89" t="str">
        <f>IF(V51="","",V51)</f>
        <v/>
      </c>
      <c r="M426" s="85"/>
      <c r="N426" s="86"/>
      <c r="O426" s="83"/>
      <c r="P426" s="83"/>
      <c r="Q426" s="83"/>
      <c r="R426" s="83"/>
      <c r="S426" s="83"/>
      <c r="T426" s="83"/>
      <c r="U426" s="83"/>
      <c r="V426" s="84"/>
      <c r="W426" s="83"/>
      <c r="X426" s="83"/>
      <c r="Y426" s="83"/>
      <c r="Z426" s="83"/>
      <c r="AA426" s="83"/>
      <c r="AB426" s="84"/>
      <c r="AC426" s="83"/>
      <c r="AD426" s="83"/>
      <c r="AE426" s="83"/>
      <c r="AF426"/>
    </row>
    <row r="427" spans="2:32" ht="26.25" hidden="1" x14ac:dyDescent="0.4">
      <c r="B427" s="9">
        <f t="shared" si="63"/>
        <v>50</v>
      </c>
      <c r="C427" s="29" t="str">
        <f t="shared" si="64"/>
        <v/>
      </c>
      <c r="D427" s="59" t="str">
        <f>IF(N52="","",N52)</f>
        <v/>
      </c>
      <c r="E427" s="90" t="str">
        <f>IF(O52="","",O52)</f>
        <v/>
      </c>
      <c r="F427" s="90" t="str">
        <f>IF(P52="","",P52)</f>
        <v/>
      </c>
      <c r="G427" s="91" t="str">
        <f>IF(Q52="","",Q52)</f>
        <v/>
      </c>
      <c r="H427" s="91" t="str">
        <f>IF(R52="","",R52)</f>
        <v/>
      </c>
      <c r="I427" s="90" t="str">
        <f>IF(S52="","",S52)</f>
        <v/>
      </c>
      <c r="J427" s="90" t="str">
        <f>IF(T52="","",T52)</f>
        <v/>
      </c>
      <c r="K427" s="91" t="str">
        <f>IF(U52="","",U52)</f>
        <v/>
      </c>
      <c r="L427" s="91" t="str">
        <f>IF(V52="","",V52)</f>
        <v/>
      </c>
      <c r="M427" s="85"/>
      <c r="N427" s="86"/>
      <c r="O427" s="83"/>
      <c r="P427" s="83"/>
      <c r="Q427" s="83"/>
      <c r="R427" s="83"/>
      <c r="S427" s="83"/>
      <c r="T427" s="83"/>
      <c r="U427" s="83"/>
      <c r="V427" s="84"/>
      <c r="W427" s="83"/>
      <c r="X427" s="83"/>
      <c r="Y427" s="83"/>
      <c r="Z427" s="83"/>
      <c r="AA427" s="83"/>
      <c r="AB427" s="84"/>
      <c r="AC427" s="83"/>
      <c r="AD427" s="83"/>
      <c r="AE427" s="83"/>
      <c r="AF427"/>
    </row>
    <row r="428" spans="2:32" ht="26.25" hidden="1" x14ac:dyDescent="0.4">
      <c r="B428" s="9">
        <f t="shared" si="63"/>
        <v>51</v>
      </c>
      <c r="C428" s="29" t="str">
        <f t="shared" si="64"/>
        <v/>
      </c>
      <c r="D428" s="58" t="str">
        <f>IF(N53="","",N53)</f>
        <v/>
      </c>
      <c r="E428" s="88" t="str">
        <f>IF(O53="","",O53)</f>
        <v/>
      </c>
      <c r="F428" s="88" t="str">
        <f>IF(P53="","",P53)</f>
        <v/>
      </c>
      <c r="G428" s="89" t="str">
        <f>IF(Q53="","",Q53)</f>
        <v/>
      </c>
      <c r="H428" s="89" t="str">
        <f>IF(R53="","",R53)</f>
        <v/>
      </c>
      <c r="I428" s="88" t="str">
        <f>IF(S53="","",S53)</f>
        <v/>
      </c>
      <c r="J428" s="88" t="str">
        <f>IF(T53="","",T53)</f>
        <v/>
      </c>
      <c r="K428" s="89" t="str">
        <f>IF(U53="","",U53)</f>
        <v/>
      </c>
      <c r="L428" s="89" t="str">
        <f>IF(V53="","",V53)</f>
        <v/>
      </c>
      <c r="M428" s="85"/>
      <c r="N428" s="86"/>
      <c r="O428" s="83"/>
      <c r="P428" s="83"/>
      <c r="Q428" s="83"/>
      <c r="R428" s="83"/>
      <c r="S428" s="83"/>
      <c r="T428" s="83"/>
      <c r="U428" s="83"/>
      <c r="V428" s="84"/>
      <c r="W428" s="83"/>
      <c r="X428" s="83"/>
      <c r="Y428" s="83"/>
      <c r="Z428" s="83"/>
      <c r="AA428" s="83"/>
      <c r="AB428" s="84"/>
      <c r="AC428" s="83"/>
      <c r="AD428" s="83"/>
      <c r="AE428" s="83"/>
      <c r="AF428"/>
    </row>
    <row r="429" spans="2:32" ht="26.25" hidden="1" x14ac:dyDescent="0.4">
      <c r="B429" s="9">
        <f t="shared" si="63"/>
        <v>52</v>
      </c>
      <c r="C429" s="29" t="str">
        <f t="shared" si="64"/>
        <v/>
      </c>
      <c r="D429" s="59" t="str">
        <f>IF(N54="","",N54)</f>
        <v/>
      </c>
      <c r="E429" s="90" t="str">
        <f>IF(O54="","",O54)</f>
        <v/>
      </c>
      <c r="F429" s="90" t="str">
        <f>IF(P54="","",P54)</f>
        <v/>
      </c>
      <c r="G429" s="91" t="str">
        <f>IF(Q54="","",Q54)</f>
        <v/>
      </c>
      <c r="H429" s="91" t="str">
        <f>IF(R54="","",R54)</f>
        <v/>
      </c>
      <c r="I429" s="90" t="str">
        <f>IF(S54="","",S54)</f>
        <v/>
      </c>
      <c r="J429" s="90" t="str">
        <f>IF(T54="","",T54)</f>
        <v/>
      </c>
      <c r="K429" s="91" t="str">
        <f>IF(U54="","",U54)</f>
        <v/>
      </c>
      <c r="L429" s="91" t="str">
        <f>IF(V54="","",V54)</f>
        <v/>
      </c>
      <c r="M429" s="85"/>
      <c r="N429" s="86"/>
      <c r="O429" s="83"/>
      <c r="P429" s="83"/>
      <c r="Q429" s="83"/>
      <c r="R429" s="83"/>
      <c r="S429" s="83"/>
      <c r="T429" s="83"/>
      <c r="U429" s="83"/>
      <c r="V429" s="84"/>
      <c r="W429" s="83"/>
      <c r="X429" s="83"/>
      <c r="Y429" s="83"/>
      <c r="Z429" s="83"/>
      <c r="AA429" s="83"/>
      <c r="AB429" s="84"/>
      <c r="AC429" s="83"/>
      <c r="AD429" s="83"/>
      <c r="AE429" s="83"/>
      <c r="AF429"/>
    </row>
    <row r="430" spans="2:32" ht="26.25" hidden="1" x14ac:dyDescent="0.4">
      <c r="B430" s="9">
        <f t="shared" si="63"/>
        <v>53</v>
      </c>
      <c r="C430" s="29" t="str">
        <f t="shared" si="64"/>
        <v/>
      </c>
      <c r="D430" s="58" t="str">
        <f>IF(N55="","",N55)</f>
        <v/>
      </c>
      <c r="E430" s="88" t="str">
        <f>IF(O55="","",O55)</f>
        <v/>
      </c>
      <c r="F430" s="88" t="str">
        <f>IF(P55="","",P55)</f>
        <v/>
      </c>
      <c r="G430" s="89" t="str">
        <f>IF(Q55="","",Q55)</f>
        <v/>
      </c>
      <c r="H430" s="89" t="str">
        <f>IF(R55="","",R55)</f>
        <v/>
      </c>
      <c r="I430" s="88" t="str">
        <f>IF(S55="","",S55)</f>
        <v/>
      </c>
      <c r="J430" s="88" t="str">
        <f>IF(T55="","",T55)</f>
        <v/>
      </c>
      <c r="K430" s="89" t="str">
        <f>IF(U55="","",U55)</f>
        <v/>
      </c>
      <c r="L430" s="89" t="str">
        <f>IF(V55="","",V55)</f>
        <v/>
      </c>
      <c r="M430" s="85"/>
      <c r="N430" s="86"/>
      <c r="O430" s="83"/>
      <c r="P430" s="83"/>
      <c r="Q430" s="83"/>
      <c r="R430" s="83"/>
      <c r="S430" s="83"/>
      <c r="T430" s="83"/>
      <c r="U430" s="83"/>
      <c r="V430" s="84"/>
      <c r="W430" s="83"/>
      <c r="X430" s="83"/>
      <c r="Y430" s="83"/>
      <c r="Z430" s="83"/>
      <c r="AA430" s="83"/>
      <c r="AB430" s="84"/>
      <c r="AC430" s="83"/>
      <c r="AD430" s="83"/>
      <c r="AE430" s="83"/>
      <c r="AF430"/>
    </row>
    <row r="431" spans="2:32" ht="26.25" hidden="1" x14ac:dyDescent="0.4">
      <c r="B431" s="9">
        <f t="shared" si="63"/>
        <v>54</v>
      </c>
      <c r="C431" s="29" t="str">
        <f t="shared" si="64"/>
        <v/>
      </c>
      <c r="D431" s="59" t="str">
        <f>IF(N56="","",N56)</f>
        <v/>
      </c>
      <c r="E431" s="90" t="str">
        <f>IF(O56="","",O56)</f>
        <v/>
      </c>
      <c r="F431" s="90" t="str">
        <f>IF(P56="","",P56)</f>
        <v/>
      </c>
      <c r="G431" s="91" t="str">
        <f>IF(Q56="","",Q56)</f>
        <v/>
      </c>
      <c r="H431" s="91" t="str">
        <f>IF(R56="","",R56)</f>
        <v/>
      </c>
      <c r="I431" s="90" t="str">
        <f>IF(S56="","",S56)</f>
        <v/>
      </c>
      <c r="J431" s="90" t="str">
        <f>IF(T56="","",T56)</f>
        <v/>
      </c>
      <c r="K431" s="91" t="str">
        <f>IF(U56="","",U56)</f>
        <v/>
      </c>
      <c r="L431" s="91" t="str">
        <f>IF(V56="","",V56)</f>
        <v/>
      </c>
      <c r="M431" s="85"/>
      <c r="N431" s="86"/>
      <c r="O431" s="83"/>
      <c r="P431" s="83"/>
      <c r="Q431" s="83"/>
      <c r="R431" s="83"/>
      <c r="S431" s="83"/>
      <c r="T431" s="83"/>
      <c r="U431" s="83"/>
      <c r="V431" s="84"/>
      <c r="W431" s="83"/>
      <c r="X431" s="83"/>
      <c r="Y431" s="83"/>
      <c r="Z431" s="83"/>
      <c r="AA431" s="83"/>
      <c r="AB431" s="84"/>
      <c r="AC431" s="83"/>
      <c r="AD431" s="83"/>
      <c r="AE431" s="83"/>
      <c r="AF431"/>
    </row>
    <row r="432" spans="2:32" ht="26.25" hidden="1" x14ac:dyDescent="0.4">
      <c r="B432" s="9">
        <f t="shared" si="63"/>
        <v>55</v>
      </c>
      <c r="C432" s="29" t="str">
        <f t="shared" si="64"/>
        <v/>
      </c>
      <c r="D432" s="58" t="str">
        <f>IF(N57="","",N57)</f>
        <v/>
      </c>
      <c r="E432" s="88" t="str">
        <f>IF(O57="","",O57)</f>
        <v/>
      </c>
      <c r="F432" s="88" t="str">
        <f>IF(P57="","",P57)</f>
        <v/>
      </c>
      <c r="G432" s="89" t="str">
        <f>IF(Q57="","",Q57)</f>
        <v/>
      </c>
      <c r="H432" s="89" t="str">
        <f>IF(R57="","",R57)</f>
        <v/>
      </c>
      <c r="I432" s="88" t="str">
        <f>IF(S57="","",S57)</f>
        <v/>
      </c>
      <c r="J432" s="88" t="str">
        <f>IF(T57="","",T57)</f>
        <v/>
      </c>
      <c r="K432" s="89" t="str">
        <f>IF(U57="","",U57)</f>
        <v/>
      </c>
      <c r="L432" s="89" t="str">
        <f>IF(V57="","",V57)</f>
        <v/>
      </c>
      <c r="M432" s="85"/>
      <c r="N432" s="86"/>
      <c r="O432" s="83"/>
      <c r="P432" s="83"/>
      <c r="Q432" s="83"/>
      <c r="R432" s="83"/>
      <c r="S432" s="83"/>
      <c r="T432" s="83"/>
      <c r="U432" s="83"/>
      <c r="V432" s="84"/>
      <c r="W432" s="83"/>
      <c r="X432" s="83"/>
      <c r="Y432" s="83"/>
      <c r="Z432" s="83"/>
      <c r="AA432" s="83"/>
      <c r="AB432" s="84"/>
      <c r="AC432" s="83"/>
      <c r="AD432" s="83"/>
      <c r="AE432" s="83"/>
      <c r="AF432"/>
    </row>
    <row r="433" spans="2:32" ht="26.25" hidden="1" x14ac:dyDescent="0.4">
      <c r="B433" s="9">
        <f t="shared" si="63"/>
        <v>56</v>
      </c>
      <c r="C433" s="29" t="str">
        <f t="shared" si="64"/>
        <v/>
      </c>
      <c r="D433" s="59" t="str">
        <f>IF(N58="","",N58)</f>
        <v/>
      </c>
      <c r="E433" s="90" t="str">
        <f>IF(O58="","",O58)</f>
        <v/>
      </c>
      <c r="F433" s="90" t="str">
        <f>IF(P58="","",P58)</f>
        <v/>
      </c>
      <c r="G433" s="91" t="str">
        <f>IF(Q58="","",Q58)</f>
        <v/>
      </c>
      <c r="H433" s="91" t="str">
        <f>IF(R58="","",R58)</f>
        <v/>
      </c>
      <c r="I433" s="90" t="str">
        <f>IF(S58="","",S58)</f>
        <v/>
      </c>
      <c r="J433" s="90" t="str">
        <f>IF(T58="","",T58)</f>
        <v/>
      </c>
      <c r="K433" s="91" t="str">
        <f>IF(U58="","",U58)</f>
        <v/>
      </c>
      <c r="L433" s="91" t="str">
        <f>IF(V58="","",V58)</f>
        <v/>
      </c>
      <c r="M433" s="85"/>
      <c r="N433" s="86"/>
      <c r="O433" s="83"/>
      <c r="P433" s="83"/>
      <c r="Q433" s="83"/>
      <c r="R433" s="83"/>
      <c r="S433" s="83"/>
      <c r="T433" s="83"/>
      <c r="U433" s="83"/>
      <c r="V433" s="84"/>
      <c r="W433" s="83"/>
      <c r="X433" s="83"/>
      <c r="Y433" s="83"/>
      <c r="Z433" s="83"/>
      <c r="AA433" s="83"/>
      <c r="AB433" s="84"/>
      <c r="AC433" s="83"/>
      <c r="AD433" s="83"/>
      <c r="AE433" s="83"/>
      <c r="AF433"/>
    </row>
    <row r="434" spans="2:32" ht="26.25" hidden="1" x14ac:dyDescent="0.4">
      <c r="B434" s="9">
        <f t="shared" si="63"/>
        <v>57</v>
      </c>
      <c r="C434" s="29" t="str">
        <f t="shared" si="64"/>
        <v/>
      </c>
      <c r="D434" s="58" t="str">
        <f>IF(N59="","",N59)</f>
        <v/>
      </c>
      <c r="E434" s="88" t="str">
        <f>IF(O59="","",O59)</f>
        <v/>
      </c>
      <c r="F434" s="88" t="str">
        <f>IF(P59="","",P59)</f>
        <v/>
      </c>
      <c r="G434" s="89" t="str">
        <f>IF(Q59="","",Q59)</f>
        <v/>
      </c>
      <c r="H434" s="89" t="str">
        <f>IF(R59="","",R59)</f>
        <v/>
      </c>
      <c r="I434" s="88" t="str">
        <f>IF(S59="","",S59)</f>
        <v/>
      </c>
      <c r="J434" s="88" t="str">
        <f>IF(T59="","",T59)</f>
        <v/>
      </c>
      <c r="K434" s="89" t="str">
        <f>IF(U59="","",U59)</f>
        <v/>
      </c>
      <c r="L434" s="89" t="str">
        <f>IF(V59="","",V59)</f>
        <v/>
      </c>
      <c r="M434" s="85"/>
      <c r="N434" s="86"/>
      <c r="O434" s="83"/>
      <c r="P434" s="83"/>
      <c r="Q434" s="83"/>
      <c r="R434" s="83"/>
      <c r="S434" s="83"/>
      <c r="T434" s="83"/>
      <c r="U434" s="83"/>
      <c r="V434" s="84"/>
      <c r="W434" s="83"/>
      <c r="X434" s="83"/>
      <c r="Y434" s="83"/>
      <c r="Z434" s="83"/>
      <c r="AA434" s="83"/>
      <c r="AB434" s="84"/>
      <c r="AC434" s="83"/>
      <c r="AD434" s="83"/>
      <c r="AE434" s="83"/>
      <c r="AF434"/>
    </row>
    <row r="435" spans="2:32" ht="26.25" hidden="1" x14ac:dyDescent="0.4">
      <c r="B435" s="9">
        <f t="shared" si="63"/>
        <v>58</v>
      </c>
      <c r="C435" s="29" t="str">
        <f t="shared" si="64"/>
        <v/>
      </c>
      <c r="D435" s="59" t="str">
        <f>IF(N60="","",N60)</f>
        <v/>
      </c>
      <c r="E435" s="90" t="str">
        <f>IF(O60="","",O60)</f>
        <v/>
      </c>
      <c r="F435" s="90" t="str">
        <f>IF(P60="","",P60)</f>
        <v/>
      </c>
      <c r="G435" s="91" t="str">
        <f>IF(Q60="","",Q60)</f>
        <v/>
      </c>
      <c r="H435" s="91" t="str">
        <f>IF(R60="","",R60)</f>
        <v/>
      </c>
      <c r="I435" s="90" t="str">
        <f>IF(S60="","",S60)</f>
        <v/>
      </c>
      <c r="J435" s="90" t="str">
        <f>IF(T60="","",T60)</f>
        <v/>
      </c>
      <c r="K435" s="91" t="str">
        <f>IF(U60="","",U60)</f>
        <v/>
      </c>
      <c r="L435" s="91" t="str">
        <f>IF(V60="","",V60)</f>
        <v/>
      </c>
      <c r="M435" s="85"/>
      <c r="N435" s="86"/>
      <c r="O435" s="83"/>
      <c r="P435" s="83"/>
      <c r="Q435" s="83"/>
      <c r="R435" s="83"/>
      <c r="S435" s="83"/>
      <c r="T435" s="83"/>
      <c r="U435" s="83"/>
      <c r="V435" s="84"/>
      <c r="W435" s="83"/>
      <c r="X435" s="83"/>
      <c r="Y435" s="83"/>
      <c r="Z435" s="83"/>
      <c r="AA435" s="83"/>
      <c r="AB435" s="84"/>
      <c r="AC435" s="83"/>
      <c r="AD435" s="83"/>
      <c r="AE435" s="83"/>
      <c r="AF435"/>
    </row>
    <row r="436" spans="2:32" ht="26.25" hidden="1" x14ac:dyDescent="0.4">
      <c r="B436" s="9">
        <f t="shared" si="63"/>
        <v>59</v>
      </c>
      <c r="C436" s="29" t="str">
        <f t="shared" si="64"/>
        <v/>
      </c>
      <c r="D436" s="58" t="str">
        <f>IF(N61="","",N61)</f>
        <v/>
      </c>
      <c r="E436" s="88" t="str">
        <f>IF(O61="","",O61)</f>
        <v/>
      </c>
      <c r="F436" s="88" t="str">
        <f>IF(P61="","",P61)</f>
        <v/>
      </c>
      <c r="G436" s="89" t="str">
        <f>IF(Q61="","",Q61)</f>
        <v/>
      </c>
      <c r="H436" s="89" t="str">
        <f>IF(R61="","",R61)</f>
        <v/>
      </c>
      <c r="I436" s="88" t="str">
        <f>IF(S61="","",S61)</f>
        <v/>
      </c>
      <c r="J436" s="88" t="str">
        <f>IF(T61="","",T61)</f>
        <v/>
      </c>
      <c r="K436" s="89" t="str">
        <f>IF(U61="","",U61)</f>
        <v/>
      </c>
      <c r="L436" s="89" t="str">
        <f>IF(V61="","",V61)</f>
        <v/>
      </c>
      <c r="M436" s="85"/>
      <c r="N436" s="86"/>
      <c r="O436" s="83"/>
      <c r="P436" s="83"/>
      <c r="Q436" s="83"/>
      <c r="R436" s="83"/>
      <c r="S436" s="83"/>
      <c r="T436" s="83"/>
      <c r="U436" s="83"/>
      <c r="V436" s="84"/>
      <c r="W436" s="83"/>
      <c r="X436" s="83"/>
      <c r="Y436" s="83"/>
      <c r="Z436" s="83"/>
      <c r="AA436" s="83"/>
      <c r="AB436" s="84"/>
      <c r="AC436" s="83"/>
      <c r="AD436" s="83"/>
      <c r="AE436" s="83"/>
      <c r="AF436"/>
    </row>
    <row r="437" spans="2:32" ht="26.25" hidden="1" x14ac:dyDescent="0.4">
      <c r="B437" s="9">
        <f t="shared" si="63"/>
        <v>60</v>
      </c>
      <c r="C437" s="29" t="str">
        <f t="shared" si="64"/>
        <v/>
      </c>
      <c r="D437" s="59" t="str">
        <f>IF(N62="","",N62)</f>
        <v/>
      </c>
      <c r="E437" s="90" t="str">
        <f>IF(O62="","",O62)</f>
        <v/>
      </c>
      <c r="F437" s="90" t="str">
        <f>IF(P62="","",P62)</f>
        <v/>
      </c>
      <c r="G437" s="91" t="str">
        <f>IF(Q62="","",Q62)</f>
        <v/>
      </c>
      <c r="H437" s="91" t="str">
        <f>IF(R62="","",R62)</f>
        <v/>
      </c>
      <c r="I437" s="90" t="str">
        <f>IF(S62="","",S62)</f>
        <v/>
      </c>
      <c r="J437" s="90" t="str">
        <f>IF(T62="","",T62)</f>
        <v/>
      </c>
      <c r="K437" s="91" t="str">
        <f>IF(U62="","",U62)</f>
        <v/>
      </c>
      <c r="L437" s="91" t="str">
        <f>IF(V62="","",V62)</f>
        <v/>
      </c>
      <c r="M437" s="85"/>
      <c r="N437" s="86"/>
      <c r="O437" s="83"/>
      <c r="P437" s="83"/>
      <c r="Q437" s="83"/>
      <c r="R437" s="83"/>
      <c r="S437" s="83"/>
      <c r="T437" s="83"/>
      <c r="U437" s="83"/>
      <c r="V437" s="84"/>
      <c r="W437" s="83"/>
      <c r="X437" s="83"/>
      <c r="Y437" s="83"/>
      <c r="Z437" s="83"/>
      <c r="AA437" s="83"/>
      <c r="AB437" s="84"/>
      <c r="AC437" s="83"/>
      <c r="AD437" s="83"/>
      <c r="AE437" s="83"/>
      <c r="AF437"/>
    </row>
    <row r="438" spans="2:32" ht="26.25" hidden="1" x14ac:dyDescent="0.4">
      <c r="B438" s="9">
        <f t="shared" si="63"/>
        <v>61</v>
      </c>
      <c r="C438" s="29" t="str">
        <f t="shared" si="64"/>
        <v/>
      </c>
      <c r="D438" s="58" t="str">
        <f>IF(N63="","",N63)</f>
        <v/>
      </c>
      <c r="E438" s="88" t="str">
        <f>IF(O63="","",O63)</f>
        <v/>
      </c>
      <c r="F438" s="88" t="str">
        <f>IF(P63="","",P63)</f>
        <v/>
      </c>
      <c r="G438" s="89" t="str">
        <f>IF(Q63="","",Q63)</f>
        <v/>
      </c>
      <c r="H438" s="89" t="str">
        <f>IF(R63="","",R63)</f>
        <v/>
      </c>
      <c r="I438" s="88" t="str">
        <f>IF(S63="","",S63)</f>
        <v/>
      </c>
      <c r="J438" s="88" t="str">
        <f>IF(T63="","",T63)</f>
        <v/>
      </c>
      <c r="K438" s="89" t="str">
        <f>IF(U63="","",U63)</f>
        <v/>
      </c>
      <c r="L438" s="89" t="str">
        <f>IF(V63="","",V63)</f>
        <v/>
      </c>
      <c r="M438" s="85"/>
      <c r="N438" s="86"/>
      <c r="O438" s="83"/>
      <c r="P438" s="83"/>
      <c r="Q438" s="83"/>
      <c r="R438" s="83"/>
      <c r="S438" s="83"/>
      <c r="T438" s="83"/>
      <c r="U438" s="83"/>
      <c r="V438" s="84"/>
      <c r="W438" s="83"/>
      <c r="X438" s="83"/>
      <c r="Y438" s="83"/>
      <c r="Z438" s="83"/>
      <c r="AA438" s="83"/>
      <c r="AB438" s="84"/>
      <c r="AC438" s="83"/>
      <c r="AD438" s="83"/>
      <c r="AE438" s="83"/>
      <c r="AF438"/>
    </row>
    <row r="439" spans="2:32" ht="26.25" hidden="1" x14ac:dyDescent="0.4">
      <c r="B439" s="9">
        <f t="shared" si="63"/>
        <v>62</v>
      </c>
      <c r="C439" s="29" t="str">
        <f t="shared" si="64"/>
        <v/>
      </c>
      <c r="D439" s="59" t="str">
        <f>IF(N64="","",N64)</f>
        <v/>
      </c>
      <c r="E439" s="90" t="str">
        <f>IF(O64="","",O64)</f>
        <v/>
      </c>
      <c r="F439" s="90" t="str">
        <f>IF(P64="","",P64)</f>
        <v/>
      </c>
      <c r="G439" s="91" t="str">
        <f>IF(Q64="","",Q64)</f>
        <v/>
      </c>
      <c r="H439" s="91" t="str">
        <f>IF(R64="","",R64)</f>
        <v/>
      </c>
      <c r="I439" s="90" t="str">
        <f>IF(S64="","",S64)</f>
        <v/>
      </c>
      <c r="J439" s="90" t="str">
        <f>IF(T64="","",T64)</f>
        <v/>
      </c>
      <c r="K439" s="91" t="str">
        <f>IF(U64="","",U64)</f>
        <v/>
      </c>
      <c r="L439" s="91" t="str">
        <f>IF(V64="","",V64)</f>
        <v/>
      </c>
      <c r="M439" s="85"/>
      <c r="N439" s="86"/>
      <c r="O439" s="83"/>
      <c r="P439" s="83"/>
      <c r="Q439" s="83"/>
      <c r="R439" s="83"/>
      <c r="S439" s="83"/>
      <c r="T439" s="83"/>
      <c r="U439" s="83"/>
      <c r="V439" s="84"/>
      <c r="W439" s="83"/>
      <c r="X439" s="83"/>
      <c r="Y439" s="83"/>
      <c r="Z439" s="83"/>
      <c r="AA439" s="83"/>
      <c r="AB439" s="84"/>
      <c r="AC439" s="83"/>
      <c r="AD439" s="83"/>
      <c r="AE439" s="83"/>
      <c r="AF439"/>
    </row>
    <row r="440" spans="2:32" ht="26.25" hidden="1" x14ac:dyDescent="0.4">
      <c r="B440" s="9">
        <f t="shared" si="63"/>
        <v>63</v>
      </c>
      <c r="C440" s="29" t="str">
        <f t="shared" si="64"/>
        <v/>
      </c>
      <c r="D440" s="58" t="str">
        <f>IF(N65="","",N65)</f>
        <v/>
      </c>
      <c r="E440" s="88" t="str">
        <f>IF(O65="","",O65)</f>
        <v/>
      </c>
      <c r="F440" s="88" t="str">
        <f>IF(P65="","",P65)</f>
        <v/>
      </c>
      <c r="G440" s="89" t="str">
        <f>IF(Q65="","",Q65)</f>
        <v/>
      </c>
      <c r="H440" s="89" t="str">
        <f>IF(R65="","",R65)</f>
        <v/>
      </c>
      <c r="I440" s="88" t="str">
        <f>IF(S65="","",S65)</f>
        <v/>
      </c>
      <c r="J440" s="88" t="str">
        <f>IF(T65="","",T65)</f>
        <v/>
      </c>
      <c r="K440" s="89" t="str">
        <f>IF(U65="","",U65)</f>
        <v/>
      </c>
      <c r="L440" s="89" t="str">
        <f>IF(V65="","",V65)</f>
        <v/>
      </c>
      <c r="M440" s="85"/>
      <c r="N440" s="86"/>
      <c r="O440" s="83"/>
      <c r="P440" s="83"/>
      <c r="Q440" s="83"/>
      <c r="R440" s="83"/>
      <c r="S440" s="83"/>
      <c r="T440" s="83"/>
      <c r="U440" s="83"/>
      <c r="V440" s="84"/>
      <c r="W440" s="83"/>
      <c r="X440" s="83"/>
      <c r="Y440" s="83"/>
      <c r="Z440" s="83"/>
      <c r="AA440" s="83"/>
      <c r="AB440" s="84"/>
      <c r="AC440" s="83"/>
      <c r="AD440" s="83"/>
      <c r="AE440" s="83"/>
      <c r="AF440"/>
    </row>
    <row r="441" spans="2:32" ht="26.25" hidden="1" x14ac:dyDescent="0.4">
      <c r="B441" s="9">
        <f t="shared" si="63"/>
        <v>64</v>
      </c>
      <c r="C441" s="29" t="str">
        <f t="shared" si="64"/>
        <v/>
      </c>
      <c r="D441" s="59" t="str">
        <f>IF(N66="","",N66)</f>
        <v/>
      </c>
      <c r="E441" s="90" t="str">
        <f>IF(O66="","",O66)</f>
        <v/>
      </c>
      <c r="F441" s="90" t="str">
        <f>IF(P66="","",P66)</f>
        <v/>
      </c>
      <c r="G441" s="91" t="str">
        <f>IF(Q66="","",Q66)</f>
        <v/>
      </c>
      <c r="H441" s="91" t="str">
        <f>IF(R66="","",R66)</f>
        <v/>
      </c>
      <c r="I441" s="90" t="str">
        <f>IF(S66="","",S66)</f>
        <v/>
      </c>
      <c r="J441" s="90" t="str">
        <f>IF(T66="","",T66)</f>
        <v/>
      </c>
      <c r="K441" s="91" t="str">
        <f>IF(U66="","",U66)</f>
        <v/>
      </c>
      <c r="L441" s="91" t="str">
        <f>IF(V66="","",V66)</f>
        <v/>
      </c>
      <c r="M441" s="85"/>
      <c r="N441" s="86"/>
      <c r="O441" s="83"/>
      <c r="P441" s="83"/>
      <c r="Q441" s="83"/>
      <c r="R441" s="83"/>
      <c r="S441" s="83"/>
      <c r="T441" s="83"/>
      <c r="U441" s="83"/>
      <c r="V441" s="84"/>
      <c r="W441" s="83"/>
      <c r="X441" s="83"/>
      <c r="Y441" s="83"/>
      <c r="Z441" s="83"/>
      <c r="AA441" s="83"/>
      <c r="AB441" s="84"/>
      <c r="AC441" s="83"/>
      <c r="AD441" s="83"/>
      <c r="AE441" s="83"/>
      <c r="AF441"/>
    </row>
    <row r="442" spans="2:32" ht="26.25" hidden="1" x14ac:dyDescent="0.4">
      <c r="B442" s="9">
        <f t="shared" si="63"/>
        <v>65</v>
      </c>
      <c r="C442" s="29" t="str">
        <f t="shared" si="64"/>
        <v/>
      </c>
      <c r="D442" s="58" t="str">
        <f>IF(N67="","",N67)</f>
        <v/>
      </c>
      <c r="E442" s="88" t="str">
        <f>IF(O67="","",O67)</f>
        <v/>
      </c>
      <c r="F442" s="88" t="str">
        <f>IF(P67="","",P67)</f>
        <v/>
      </c>
      <c r="G442" s="89" t="str">
        <f>IF(Q67="","",Q67)</f>
        <v/>
      </c>
      <c r="H442" s="89" t="str">
        <f>IF(R67="","",R67)</f>
        <v/>
      </c>
      <c r="I442" s="88" t="str">
        <f>IF(S67="","",S67)</f>
        <v/>
      </c>
      <c r="J442" s="88" t="str">
        <f>IF(T67="","",T67)</f>
        <v/>
      </c>
      <c r="K442" s="89" t="str">
        <f>IF(U67="","",U67)</f>
        <v/>
      </c>
      <c r="L442" s="89" t="str">
        <f>IF(V67="","",V67)</f>
        <v/>
      </c>
      <c r="M442" s="85"/>
      <c r="N442" s="86"/>
      <c r="O442" s="83"/>
      <c r="P442" s="83"/>
      <c r="Q442" s="83"/>
      <c r="R442" s="83"/>
      <c r="S442" s="83"/>
      <c r="T442" s="83"/>
      <c r="U442" s="83"/>
      <c r="V442" s="84"/>
      <c r="W442" s="83"/>
      <c r="X442" s="83"/>
      <c r="Y442" s="83"/>
      <c r="Z442" s="83"/>
      <c r="AA442" s="83"/>
      <c r="AB442" s="84"/>
      <c r="AC442" s="83"/>
      <c r="AD442" s="83"/>
      <c r="AE442" s="83"/>
      <c r="AF442"/>
    </row>
    <row r="443" spans="2:32" ht="26.25" hidden="1" x14ac:dyDescent="0.4">
      <c r="B443" s="9">
        <f t="shared" si="63"/>
        <v>66</v>
      </c>
      <c r="C443" s="29" t="str">
        <f t="shared" si="64"/>
        <v/>
      </c>
      <c r="D443" s="59" t="str">
        <f>IF(N68="","",N68)</f>
        <v/>
      </c>
      <c r="E443" s="90" t="str">
        <f>IF(O68="","",O68)</f>
        <v/>
      </c>
      <c r="F443" s="90" t="str">
        <f>IF(P68="","",P68)</f>
        <v/>
      </c>
      <c r="G443" s="91" t="str">
        <f>IF(Q68="","",Q68)</f>
        <v/>
      </c>
      <c r="H443" s="91" t="str">
        <f>IF(R68="","",R68)</f>
        <v/>
      </c>
      <c r="I443" s="90" t="str">
        <f>IF(S68="","",S68)</f>
        <v/>
      </c>
      <c r="J443" s="90" t="str">
        <f>IF(T68="","",T68)</f>
        <v/>
      </c>
      <c r="K443" s="91" t="str">
        <f>IF(U68="","",U68)</f>
        <v/>
      </c>
      <c r="L443" s="91" t="str">
        <f>IF(V68="","",V68)</f>
        <v/>
      </c>
      <c r="M443" s="85"/>
      <c r="N443" s="86"/>
      <c r="O443" s="83"/>
      <c r="P443" s="83"/>
      <c r="Q443" s="83"/>
      <c r="R443" s="83"/>
      <c r="S443" s="83"/>
      <c r="T443" s="83"/>
      <c r="U443" s="83"/>
      <c r="V443" s="84"/>
      <c r="W443" s="83"/>
      <c r="X443" s="83"/>
      <c r="Y443" s="83"/>
      <c r="Z443" s="83"/>
      <c r="AA443" s="83"/>
      <c r="AB443" s="84"/>
      <c r="AC443" s="83"/>
      <c r="AD443" s="83"/>
      <c r="AE443" s="83"/>
      <c r="AF443"/>
    </row>
    <row r="444" spans="2:32" ht="26.25" hidden="1" x14ac:dyDescent="0.4">
      <c r="B444" s="9">
        <f t="shared" ref="B444:B478" si="65">+B443+1</f>
        <v>67</v>
      </c>
      <c r="C444" s="29" t="str">
        <f t="shared" si="64"/>
        <v/>
      </c>
      <c r="D444" s="58" t="str">
        <f>IF(N69="","",N69)</f>
        <v/>
      </c>
      <c r="E444" s="88" t="str">
        <f>IF(O69="","",O69)</f>
        <v/>
      </c>
      <c r="F444" s="88" t="str">
        <f>IF(P69="","",P69)</f>
        <v/>
      </c>
      <c r="G444" s="89" t="str">
        <f>IF(Q69="","",Q69)</f>
        <v/>
      </c>
      <c r="H444" s="89" t="str">
        <f>IF(R69="","",R69)</f>
        <v/>
      </c>
      <c r="I444" s="88" t="str">
        <f>IF(S69="","",S69)</f>
        <v/>
      </c>
      <c r="J444" s="88" t="str">
        <f>IF(T69="","",T69)</f>
        <v/>
      </c>
      <c r="K444" s="89" t="str">
        <f>IF(U69="","",U69)</f>
        <v/>
      </c>
      <c r="L444" s="89" t="str">
        <f>IF(V69="","",V69)</f>
        <v/>
      </c>
      <c r="M444" s="85"/>
      <c r="N444" s="86"/>
      <c r="O444" s="83"/>
      <c r="P444" s="83"/>
      <c r="Q444" s="83"/>
      <c r="R444" s="83"/>
      <c r="S444" s="83"/>
      <c r="T444" s="83"/>
      <c r="U444" s="83"/>
      <c r="V444" s="84"/>
      <c r="W444" s="83"/>
      <c r="X444" s="83"/>
      <c r="Y444" s="83"/>
      <c r="Z444" s="83"/>
      <c r="AA444" s="83"/>
      <c r="AB444" s="84"/>
      <c r="AC444" s="83"/>
      <c r="AD444" s="83"/>
      <c r="AE444" s="83"/>
      <c r="AF444"/>
    </row>
    <row r="445" spans="2:32" ht="26.25" hidden="1" x14ac:dyDescent="0.4">
      <c r="B445" s="9">
        <f t="shared" si="65"/>
        <v>68</v>
      </c>
      <c r="C445" s="29" t="str">
        <f t="shared" si="64"/>
        <v/>
      </c>
      <c r="D445" s="59" t="str">
        <f>IF(N70="","",N70)</f>
        <v/>
      </c>
      <c r="E445" s="90" t="str">
        <f>IF(O70="","",O70)</f>
        <v/>
      </c>
      <c r="F445" s="90" t="str">
        <f>IF(P70="","",P70)</f>
        <v/>
      </c>
      <c r="G445" s="91" t="str">
        <f>IF(Q70="","",Q70)</f>
        <v/>
      </c>
      <c r="H445" s="91" t="str">
        <f>IF(R70="","",R70)</f>
        <v/>
      </c>
      <c r="I445" s="90" t="str">
        <f>IF(S70="","",S70)</f>
        <v/>
      </c>
      <c r="J445" s="90" t="str">
        <f>IF(T70="","",T70)</f>
        <v/>
      </c>
      <c r="K445" s="91" t="str">
        <f>IF(U70="","",U70)</f>
        <v/>
      </c>
      <c r="L445" s="91" t="str">
        <f>IF(V70="","",V70)</f>
        <v/>
      </c>
      <c r="M445" s="85"/>
      <c r="N445" s="86"/>
      <c r="O445" s="83"/>
      <c r="P445" s="83"/>
      <c r="Q445" s="83"/>
      <c r="R445" s="83"/>
      <c r="S445" s="83"/>
      <c r="T445" s="83"/>
      <c r="U445" s="83"/>
      <c r="V445" s="84"/>
      <c r="W445" s="83"/>
      <c r="X445" s="83"/>
      <c r="Y445" s="83"/>
      <c r="Z445" s="83"/>
      <c r="AA445" s="83"/>
      <c r="AB445" s="84"/>
      <c r="AC445" s="83"/>
      <c r="AD445" s="83"/>
      <c r="AE445" s="83"/>
      <c r="AF445"/>
    </row>
    <row r="446" spans="2:32" ht="26.25" hidden="1" x14ac:dyDescent="0.4">
      <c r="B446" s="9">
        <f t="shared" si="65"/>
        <v>69</v>
      </c>
      <c r="C446" s="29" t="str">
        <f t="shared" si="64"/>
        <v/>
      </c>
      <c r="D446" s="58" t="str">
        <f>IF(N71="","",N71)</f>
        <v/>
      </c>
      <c r="E446" s="88" t="str">
        <f>IF(O71="","",O71)</f>
        <v/>
      </c>
      <c r="F446" s="88" t="str">
        <f>IF(P71="","",P71)</f>
        <v/>
      </c>
      <c r="G446" s="89" t="str">
        <f>IF(Q71="","",Q71)</f>
        <v/>
      </c>
      <c r="H446" s="89" t="str">
        <f>IF(R71="","",R71)</f>
        <v/>
      </c>
      <c r="I446" s="88" t="str">
        <f>IF(S71="","",S71)</f>
        <v/>
      </c>
      <c r="J446" s="88" t="str">
        <f>IF(T71="","",T71)</f>
        <v/>
      </c>
      <c r="K446" s="89" t="str">
        <f>IF(U71="","",U71)</f>
        <v/>
      </c>
      <c r="L446" s="89" t="str">
        <f>IF(V71="","",V71)</f>
        <v/>
      </c>
      <c r="M446" s="85"/>
      <c r="N446" s="86"/>
      <c r="O446" s="83"/>
      <c r="P446" s="83"/>
      <c r="Q446" s="83"/>
      <c r="R446" s="83"/>
      <c r="S446" s="83"/>
      <c r="T446" s="83"/>
      <c r="U446" s="83"/>
      <c r="V446" s="84"/>
      <c r="W446" s="83"/>
      <c r="X446" s="83"/>
      <c r="Y446" s="83"/>
      <c r="Z446" s="83"/>
      <c r="AA446" s="83"/>
      <c r="AB446" s="84"/>
      <c r="AC446" s="83"/>
      <c r="AD446" s="83"/>
      <c r="AE446" s="83"/>
      <c r="AF446"/>
    </row>
    <row r="447" spans="2:32" ht="26.25" hidden="1" x14ac:dyDescent="0.4">
      <c r="B447" s="9">
        <f t="shared" si="65"/>
        <v>70</v>
      </c>
      <c r="C447" s="29" t="str">
        <f t="shared" si="64"/>
        <v/>
      </c>
      <c r="D447" s="59" t="str">
        <f>IF(N72="","",N72)</f>
        <v/>
      </c>
      <c r="E447" s="90" t="str">
        <f>IF(O72="","",O72)</f>
        <v/>
      </c>
      <c r="F447" s="90" t="str">
        <f>IF(P72="","",P72)</f>
        <v/>
      </c>
      <c r="G447" s="91" t="str">
        <f>IF(Q72="","",Q72)</f>
        <v/>
      </c>
      <c r="H447" s="91" t="str">
        <f>IF(R72="","",R72)</f>
        <v/>
      </c>
      <c r="I447" s="90" t="str">
        <f>IF(S72="","",S72)</f>
        <v/>
      </c>
      <c r="J447" s="90" t="str">
        <f>IF(T72="","",T72)</f>
        <v/>
      </c>
      <c r="K447" s="91" t="str">
        <f>IF(U72="","",U72)</f>
        <v/>
      </c>
      <c r="L447" s="91" t="str">
        <f>IF(V72="","",V72)</f>
        <v/>
      </c>
      <c r="M447" s="85"/>
      <c r="N447" s="86"/>
      <c r="O447" s="83"/>
      <c r="P447" s="83"/>
      <c r="Q447" s="83"/>
      <c r="R447" s="83"/>
      <c r="S447" s="83"/>
      <c r="T447" s="83"/>
      <c r="U447" s="83"/>
      <c r="V447" s="84"/>
      <c r="W447" s="83"/>
      <c r="X447" s="83"/>
      <c r="Y447" s="83"/>
      <c r="Z447" s="83"/>
      <c r="AA447" s="83"/>
      <c r="AB447" s="84"/>
      <c r="AC447" s="83"/>
      <c r="AD447" s="83"/>
      <c r="AE447" s="83"/>
      <c r="AF447"/>
    </row>
    <row r="448" spans="2:32" ht="26.25" hidden="1" x14ac:dyDescent="0.4">
      <c r="B448" s="9">
        <f t="shared" si="65"/>
        <v>71</v>
      </c>
      <c r="C448" s="29" t="str">
        <f t="shared" si="64"/>
        <v/>
      </c>
      <c r="D448" s="58" t="str">
        <f>IF(N73="","",N73)</f>
        <v/>
      </c>
      <c r="E448" s="88" t="str">
        <f>IF(O73="","",O73)</f>
        <v/>
      </c>
      <c r="F448" s="88" t="str">
        <f>IF(P73="","",P73)</f>
        <v/>
      </c>
      <c r="G448" s="89" t="str">
        <f>IF(Q73="","",Q73)</f>
        <v/>
      </c>
      <c r="H448" s="89" t="str">
        <f>IF(R73="","",R73)</f>
        <v/>
      </c>
      <c r="I448" s="88" t="str">
        <f>IF(S73="","",S73)</f>
        <v/>
      </c>
      <c r="J448" s="88" t="str">
        <f>IF(T73="","",T73)</f>
        <v/>
      </c>
      <c r="K448" s="89" t="str">
        <f>IF(U73="","",U73)</f>
        <v/>
      </c>
      <c r="L448" s="89" t="str">
        <f>IF(V73="","",V73)</f>
        <v/>
      </c>
      <c r="M448" s="85"/>
      <c r="N448" s="86"/>
      <c r="O448" s="83"/>
      <c r="P448" s="83"/>
      <c r="Q448" s="83"/>
      <c r="R448" s="83"/>
      <c r="S448" s="83"/>
      <c r="T448" s="83"/>
      <c r="U448" s="83"/>
      <c r="V448" s="84"/>
      <c r="W448" s="83"/>
      <c r="X448" s="83"/>
      <c r="Y448" s="83"/>
      <c r="Z448" s="83"/>
      <c r="AA448" s="83"/>
      <c r="AB448" s="84"/>
      <c r="AC448" s="83"/>
      <c r="AD448" s="83"/>
      <c r="AE448" s="83"/>
      <c r="AF448"/>
    </row>
    <row r="449" spans="2:32" ht="26.25" hidden="1" x14ac:dyDescent="0.4">
      <c r="B449" s="9">
        <f t="shared" si="65"/>
        <v>72</v>
      </c>
      <c r="C449" s="29" t="str">
        <f t="shared" si="64"/>
        <v/>
      </c>
      <c r="D449" s="59" t="str">
        <f>IF(N74="","",N74)</f>
        <v/>
      </c>
      <c r="E449" s="90" t="str">
        <f>IF(O74="","",O74)</f>
        <v/>
      </c>
      <c r="F449" s="90" t="str">
        <f>IF(P74="","",P74)</f>
        <v/>
      </c>
      <c r="G449" s="91" t="str">
        <f>IF(Q74="","",Q74)</f>
        <v/>
      </c>
      <c r="H449" s="91" t="str">
        <f>IF(R74="","",R74)</f>
        <v/>
      </c>
      <c r="I449" s="90" t="str">
        <f>IF(S74="","",S74)</f>
        <v/>
      </c>
      <c r="J449" s="90" t="str">
        <f>IF(T74="","",T74)</f>
        <v/>
      </c>
      <c r="K449" s="91" t="str">
        <f>IF(U74="","",U74)</f>
        <v/>
      </c>
      <c r="L449" s="91" t="str">
        <f>IF(V74="","",V74)</f>
        <v/>
      </c>
      <c r="M449" s="85"/>
      <c r="N449" s="86"/>
      <c r="O449" s="83"/>
      <c r="P449" s="83"/>
      <c r="Q449" s="83"/>
      <c r="R449" s="83"/>
      <c r="S449" s="83"/>
      <c r="T449" s="83"/>
      <c r="U449" s="83"/>
      <c r="V449" s="84"/>
      <c r="W449" s="83"/>
      <c r="X449" s="83"/>
      <c r="Y449" s="83"/>
      <c r="Z449" s="83"/>
      <c r="AA449" s="83"/>
      <c r="AB449" s="84"/>
      <c r="AC449" s="83"/>
      <c r="AD449" s="83"/>
      <c r="AE449" s="83"/>
      <c r="AF449"/>
    </row>
    <row r="450" spans="2:32" ht="26.25" hidden="1" x14ac:dyDescent="0.4">
      <c r="B450" s="9">
        <f t="shared" si="65"/>
        <v>73</v>
      </c>
      <c r="C450" s="29" t="str">
        <f t="shared" si="64"/>
        <v/>
      </c>
      <c r="D450" s="58" t="str">
        <f>IF(N75="","",N75)</f>
        <v/>
      </c>
      <c r="E450" s="88" t="str">
        <f>IF(O75="","",O75)</f>
        <v/>
      </c>
      <c r="F450" s="88" t="str">
        <f>IF(P75="","",P75)</f>
        <v/>
      </c>
      <c r="G450" s="89" t="str">
        <f>IF(Q75="","",Q75)</f>
        <v/>
      </c>
      <c r="H450" s="89" t="str">
        <f>IF(R75="","",R75)</f>
        <v/>
      </c>
      <c r="I450" s="88" t="str">
        <f>IF(S75="","",S75)</f>
        <v/>
      </c>
      <c r="J450" s="88" t="str">
        <f>IF(T75="","",T75)</f>
        <v/>
      </c>
      <c r="K450" s="89" t="str">
        <f>IF(U75="","",U75)</f>
        <v/>
      </c>
      <c r="L450" s="89" t="str">
        <f>IF(V75="","",V75)</f>
        <v/>
      </c>
      <c r="M450" s="85"/>
      <c r="N450" s="86"/>
      <c r="O450" s="83"/>
      <c r="P450" s="83"/>
      <c r="Q450" s="83"/>
      <c r="R450" s="83"/>
      <c r="S450" s="83"/>
      <c r="T450" s="83"/>
      <c r="U450" s="83"/>
      <c r="V450" s="84"/>
      <c r="W450" s="83"/>
      <c r="X450" s="83"/>
      <c r="Y450" s="83"/>
      <c r="Z450" s="83"/>
      <c r="AA450" s="83"/>
      <c r="AB450" s="84"/>
      <c r="AC450" s="83"/>
      <c r="AD450" s="83"/>
      <c r="AE450" s="83"/>
      <c r="AF450"/>
    </row>
    <row r="451" spans="2:32" ht="26.25" hidden="1" x14ac:dyDescent="0.4">
      <c r="B451" s="9">
        <f t="shared" si="65"/>
        <v>74</v>
      </c>
      <c r="C451" s="29" t="str">
        <f t="shared" si="64"/>
        <v/>
      </c>
      <c r="D451" s="59" t="str">
        <f>IF(N76="","",N76)</f>
        <v/>
      </c>
      <c r="E451" s="90" t="str">
        <f>IF(O76="","",O76)</f>
        <v/>
      </c>
      <c r="F451" s="90" t="str">
        <f>IF(P76="","",P76)</f>
        <v/>
      </c>
      <c r="G451" s="91" t="str">
        <f>IF(Q76="","",Q76)</f>
        <v/>
      </c>
      <c r="H451" s="91" t="str">
        <f>IF(R76="","",R76)</f>
        <v/>
      </c>
      <c r="I451" s="90" t="str">
        <f>IF(S76="","",S76)</f>
        <v/>
      </c>
      <c r="J451" s="90" t="str">
        <f>IF(T76="","",T76)</f>
        <v/>
      </c>
      <c r="K451" s="91" t="str">
        <f>IF(U76="","",U76)</f>
        <v/>
      </c>
      <c r="L451" s="91" t="str">
        <f>IF(V76="","",V76)</f>
        <v/>
      </c>
      <c r="M451" s="85"/>
      <c r="N451" s="86"/>
      <c r="O451" s="83"/>
      <c r="P451" s="83"/>
      <c r="Q451" s="83"/>
      <c r="R451" s="83"/>
      <c r="S451" s="83"/>
      <c r="T451" s="83"/>
      <c r="U451" s="83"/>
      <c r="V451" s="84"/>
      <c r="W451" s="83"/>
      <c r="X451" s="83"/>
      <c r="Y451" s="83"/>
      <c r="Z451" s="83"/>
      <c r="AA451" s="83"/>
      <c r="AB451" s="84"/>
      <c r="AC451" s="83"/>
      <c r="AD451" s="83"/>
      <c r="AE451" s="83"/>
      <c r="AF451"/>
    </row>
    <row r="452" spans="2:32" ht="26.25" hidden="1" x14ac:dyDescent="0.4">
      <c r="B452" s="9">
        <f t="shared" si="65"/>
        <v>75</v>
      </c>
      <c r="C452" s="29" t="str">
        <f t="shared" si="64"/>
        <v/>
      </c>
      <c r="D452" s="58" t="str">
        <f>IF(N77="","",N77)</f>
        <v/>
      </c>
      <c r="E452" s="88" t="str">
        <f>IF(O77="","",O77)</f>
        <v/>
      </c>
      <c r="F452" s="88" t="str">
        <f>IF(P77="","",P77)</f>
        <v/>
      </c>
      <c r="G452" s="89" t="str">
        <f>IF(Q77="","",Q77)</f>
        <v/>
      </c>
      <c r="H452" s="89" t="str">
        <f>IF(R77="","",R77)</f>
        <v/>
      </c>
      <c r="I452" s="88" t="str">
        <f>IF(S77="","",S77)</f>
        <v/>
      </c>
      <c r="J452" s="88" t="str">
        <f>IF(T77="","",T77)</f>
        <v/>
      </c>
      <c r="K452" s="89" t="str">
        <f>IF(U77="","",U77)</f>
        <v/>
      </c>
      <c r="L452" s="89" t="str">
        <f>IF(V77="","",V77)</f>
        <v/>
      </c>
      <c r="M452" s="85"/>
      <c r="N452" s="86"/>
      <c r="O452" s="83"/>
      <c r="P452" s="83"/>
      <c r="Q452" s="83"/>
      <c r="R452" s="83"/>
      <c r="S452" s="83"/>
      <c r="T452" s="83"/>
      <c r="U452" s="83"/>
      <c r="V452" s="84"/>
      <c r="W452" s="83"/>
      <c r="X452" s="83"/>
      <c r="Y452" s="83"/>
      <c r="Z452" s="83"/>
      <c r="AA452" s="83"/>
      <c r="AB452" s="84"/>
      <c r="AC452" s="83"/>
      <c r="AD452" s="83"/>
      <c r="AE452" s="83"/>
      <c r="AF452"/>
    </row>
    <row r="453" spans="2:32" ht="26.25" hidden="1" x14ac:dyDescent="0.4">
      <c r="B453" s="9">
        <f t="shared" si="65"/>
        <v>76</v>
      </c>
      <c r="C453" s="29" t="str">
        <f t="shared" si="64"/>
        <v/>
      </c>
      <c r="D453" s="59" t="str">
        <f>IF(N78="","",N78)</f>
        <v/>
      </c>
      <c r="E453" s="90" t="str">
        <f>IF(O78="","",O78)</f>
        <v/>
      </c>
      <c r="F453" s="90" t="str">
        <f>IF(P78="","",P78)</f>
        <v/>
      </c>
      <c r="G453" s="91" t="str">
        <f>IF(Q78="","",Q78)</f>
        <v/>
      </c>
      <c r="H453" s="91" t="str">
        <f>IF(R78="","",R78)</f>
        <v/>
      </c>
      <c r="I453" s="90" t="str">
        <f>IF(S78="","",S78)</f>
        <v/>
      </c>
      <c r="J453" s="90" t="str">
        <f>IF(T78="","",T78)</f>
        <v/>
      </c>
      <c r="K453" s="91" t="str">
        <f>IF(U78="","",U78)</f>
        <v/>
      </c>
      <c r="L453" s="91" t="str">
        <f>IF(V78="","",V78)</f>
        <v/>
      </c>
      <c r="M453" s="85"/>
      <c r="N453" s="86"/>
      <c r="O453" s="83"/>
      <c r="P453" s="83"/>
      <c r="Q453" s="83"/>
      <c r="R453" s="83"/>
      <c r="S453" s="83"/>
      <c r="T453" s="83"/>
      <c r="U453" s="83"/>
      <c r="V453" s="84"/>
      <c r="W453" s="83"/>
      <c r="X453" s="83"/>
      <c r="Y453" s="83"/>
      <c r="Z453" s="83"/>
      <c r="AA453" s="83"/>
      <c r="AB453" s="84"/>
      <c r="AC453" s="83"/>
      <c r="AD453" s="83"/>
      <c r="AE453" s="83"/>
      <c r="AF453"/>
    </row>
    <row r="454" spans="2:32" ht="26.25" hidden="1" x14ac:dyDescent="0.4">
      <c r="B454" s="9">
        <f t="shared" si="65"/>
        <v>77</v>
      </c>
      <c r="C454" s="29" t="str">
        <f t="shared" si="64"/>
        <v/>
      </c>
      <c r="D454" s="58" t="str">
        <f>IF(N79="","",N79)</f>
        <v/>
      </c>
      <c r="E454" s="88" t="str">
        <f>IF(O79="","",O79)</f>
        <v/>
      </c>
      <c r="F454" s="88" t="str">
        <f>IF(P79="","",P79)</f>
        <v/>
      </c>
      <c r="G454" s="89" t="str">
        <f>IF(Q79="","",Q79)</f>
        <v/>
      </c>
      <c r="H454" s="89" t="str">
        <f>IF(R79="","",R79)</f>
        <v/>
      </c>
      <c r="I454" s="88" t="str">
        <f>IF(S79="","",S79)</f>
        <v/>
      </c>
      <c r="J454" s="88" t="str">
        <f>IF(T79="","",T79)</f>
        <v/>
      </c>
      <c r="K454" s="89" t="str">
        <f>IF(U79="","",U79)</f>
        <v/>
      </c>
      <c r="L454" s="89" t="str">
        <f>IF(V79="","",V79)</f>
        <v/>
      </c>
      <c r="M454" s="85"/>
      <c r="N454" s="86"/>
      <c r="O454" s="83"/>
      <c r="P454" s="83"/>
      <c r="Q454" s="83"/>
      <c r="R454" s="83"/>
      <c r="S454" s="83"/>
      <c r="T454" s="83"/>
      <c r="U454" s="83"/>
      <c r="V454" s="84"/>
      <c r="W454" s="83"/>
      <c r="X454" s="83"/>
      <c r="Y454" s="83"/>
      <c r="Z454" s="83"/>
      <c r="AA454" s="83"/>
      <c r="AB454" s="84"/>
      <c r="AC454" s="83"/>
      <c r="AD454" s="83"/>
      <c r="AE454" s="83"/>
      <c r="AF454"/>
    </row>
    <row r="455" spans="2:32" ht="26.25" hidden="1" x14ac:dyDescent="0.4">
      <c r="B455" s="9">
        <f t="shared" si="65"/>
        <v>78</v>
      </c>
      <c r="C455" s="29" t="str">
        <f t="shared" si="64"/>
        <v/>
      </c>
      <c r="D455" s="59" t="str">
        <f>IF(N80="","",N80)</f>
        <v/>
      </c>
      <c r="E455" s="90" t="str">
        <f>IF(O80="","",O80)</f>
        <v/>
      </c>
      <c r="F455" s="90" t="str">
        <f>IF(P80="","",P80)</f>
        <v/>
      </c>
      <c r="G455" s="91" t="str">
        <f>IF(Q80="","",Q80)</f>
        <v/>
      </c>
      <c r="H455" s="91" t="str">
        <f>IF(R80="","",R80)</f>
        <v/>
      </c>
      <c r="I455" s="90" t="str">
        <f>IF(S80="","",S80)</f>
        <v/>
      </c>
      <c r="J455" s="90" t="str">
        <f>IF(T80="","",T80)</f>
        <v/>
      </c>
      <c r="K455" s="91" t="str">
        <f>IF(U80="","",U80)</f>
        <v/>
      </c>
      <c r="L455" s="91" t="str">
        <f>IF(V80="","",V80)</f>
        <v/>
      </c>
      <c r="M455" s="85"/>
      <c r="N455" s="86"/>
      <c r="O455" s="83"/>
      <c r="P455" s="83"/>
      <c r="Q455" s="83"/>
      <c r="R455" s="83"/>
      <c r="S455" s="83"/>
      <c r="T455" s="83"/>
      <c r="U455" s="83"/>
      <c r="V455" s="84"/>
      <c r="W455" s="83"/>
      <c r="X455" s="83"/>
      <c r="Y455" s="83"/>
      <c r="Z455" s="83"/>
      <c r="AA455" s="83"/>
      <c r="AB455" s="84"/>
      <c r="AC455" s="83"/>
      <c r="AD455" s="83"/>
      <c r="AE455" s="83"/>
      <c r="AF455"/>
    </row>
    <row r="456" spans="2:32" ht="26.25" hidden="1" x14ac:dyDescent="0.4">
      <c r="B456" s="9">
        <f t="shared" si="65"/>
        <v>79</v>
      </c>
      <c r="C456" s="29" t="str">
        <f t="shared" si="64"/>
        <v/>
      </c>
      <c r="D456" s="58" t="str">
        <f>IF(N81="","",N81)</f>
        <v/>
      </c>
      <c r="E456" s="88" t="str">
        <f>IF(O81="","",O81)</f>
        <v/>
      </c>
      <c r="F456" s="88" t="str">
        <f>IF(P81="","",P81)</f>
        <v/>
      </c>
      <c r="G456" s="89" t="str">
        <f>IF(Q81="","",Q81)</f>
        <v/>
      </c>
      <c r="H456" s="89" t="str">
        <f>IF(R81="","",R81)</f>
        <v/>
      </c>
      <c r="I456" s="88" t="str">
        <f>IF(S81="","",S81)</f>
        <v/>
      </c>
      <c r="J456" s="88" t="str">
        <f>IF(T81="","",T81)</f>
        <v/>
      </c>
      <c r="K456" s="89" t="str">
        <f>IF(U81="","",U81)</f>
        <v/>
      </c>
      <c r="L456" s="89" t="str">
        <f>IF(V81="","",V81)</f>
        <v/>
      </c>
      <c r="M456" s="85"/>
      <c r="N456" s="86"/>
      <c r="O456" s="83"/>
      <c r="P456" s="83"/>
      <c r="Q456" s="83"/>
      <c r="R456" s="83"/>
      <c r="S456" s="83"/>
      <c r="T456" s="83"/>
      <c r="U456" s="83"/>
      <c r="V456" s="84"/>
      <c r="W456" s="83"/>
      <c r="X456" s="83"/>
      <c r="Y456" s="83"/>
      <c r="Z456" s="83"/>
      <c r="AA456" s="83"/>
      <c r="AB456" s="84"/>
      <c r="AC456" s="83"/>
      <c r="AD456" s="83"/>
      <c r="AE456" s="83"/>
      <c r="AF456"/>
    </row>
    <row r="457" spans="2:32" ht="26.25" hidden="1" x14ac:dyDescent="0.4">
      <c r="B457" s="9">
        <f t="shared" si="65"/>
        <v>80</v>
      </c>
      <c r="C457" s="29" t="str">
        <f t="shared" si="64"/>
        <v/>
      </c>
      <c r="D457" s="59" t="str">
        <f>IF(N82="","",N82)</f>
        <v/>
      </c>
      <c r="E457" s="90" t="str">
        <f>IF(O82="","",O82)</f>
        <v/>
      </c>
      <c r="F457" s="90" t="str">
        <f>IF(P82="","",P82)</f>
        <v/>
      </c>
      <c r="G457" s="91" t="str">
        <f>IF(Q82="","",Q82)</f>
        <v/>
      </c>
      <c r="H457" s="91" t="str">
        <f>IF(R82="","",R82)</f>
        <v/>
      </c>
      <c r="I457" s="90" t="str">
        <f>IF(S82="","",S82)</f>
        <v/>
      </c>
      <c r="J457" s="90" t="str">
        <f>IF(T82="","",T82)</f>
        <v/>
      </c>
      <c r="K457" s="91" t="str">
        <f>IF(U82="","",U82)</f>
        <v/>
      </c>
      <c r="L457" s="91" t="str">
        <f>IF(V82="","",V82)</f>
        <v/>
      </c>
      <c r="M457" s="85"/>
      <c r="N457" s="86"/>
      <c r="O457" s="83"/>
      <c r="P457" s="83"/>
      <c r="Q457" s="83"/>
      <c r="R457" s="83"/>
      <c r="S457" s="83"/>
      <c r="T457" s="83"/>
      <c r="U457" s="83"/>
      <c r="V457" s="84"/>
      <c r="W457" s="83"/>
      <c r="X457" s="83"/>
      <c r="Y457" s="83"/>
      <c r="Z457" s="83"/>
      <c r="AA457" s="83"/>
      <c r="AB457" s="84"/>
      <c r="AC457" s="83"/>
      <c r="AD457" s="83"/>
      <c r="AE457" s="83"/>
      <c r="AF457"/>
    </row>
    <row r="458" spans="2:32" ht="26.25" hidden="1" x14ac:dyDescent="0.4">
      <c r="B458" s="9">
        <f t="shared" si="65"/>
        <v>81</v>
      </c>
      <c r="C458" s="29" t="str">
        <f t="shared" si="64"/>
        <v/>
      </c>
      <c r="D458" s="58" t="str">
        <f>IF(N83="","",N83)</f>
        <v/>
      </c>
      <c r="E458" s="88" t="str">
        <f>IF(O83="","",O83)</f>
        <v/>
      </c>
      <c r="F458" s="88" t="str">
        <f>IF(P83="","",P83)</f>
        <v/>
      </c>
      <c r="G458" s="89" t="str">
        <f>IF(Q83="","",Q83)</f>
        <v/>
      </c>
      <c r="H458" s="89" t="str">
        <f>IF(R83="","",R83)</f>
        <v/>
      </c>
      <c r="I458" s="88" t="str">
        <f>IF(S83="","",S83)</f>
        <v/>
      </c>
      <c r="J458" s="88" t="str">
        <f>IF(T83="","",T83)</f>
        <v/>
      </c>
      <c r="K458" s="89" t="str">
        <f>IF(U83="","",U83)</f>
        <v/>
      </c>
      <c r="L458" s="89" t="str">
        <f>IF(V83="","",V83)</f>
        <v/>
      </c>
      <c r="M458" s="85"/>
      <c r="N458" s="86"/>
      <c r="O458" s="83"/>
      <c r="P458" s="83"/>
      <c r="Q458" s="83"/>
      <c r="R458" s="83"/>
      <c r="S458" s="83"/>
      <c r="T458" s="83"/>
      <c r="U458" s="83"/>
      <c r="V458" s="84"/>
      <c r="W458" s="83"/>
      <c r="X458" s="83"/>
      <c r="Y458" s="83"/>
      <c r="Z458" s="83"/>
      <c r="AA458" s="83"/>
      <c r="AB458" s="84"/>
      <c r="AC458" s="83"/>
      <c r="AD458" s="83"/>
      <c r="AE458" s="83"/>
      <c r="AF458"/>
    </row>
    <row r="459" spans="2:32" ht="26.25" hidden="1" x14ac:dyDescent="0.4">
      <c r="B459" s="9">
        <f t="shared" si="65"/>
        <v>82</v>
      </c>
      <c r="C459" s="29" t="str">
        <f t="shared" si="64"/>
        <v/>
      </c>
      <c r="D459" s="59" t="str">
        <f>IF(N84="","",N84)</f>
        <v/>
      </c>
      <c r="E459" s="90" t="str">
        <f>IF(O84="","",O84)</f>
        <v/>
      </c>
      <c r="F459" s="90" t="str">
        <f>IF(P84="","",P84)</f>
        <v/>
      </c>
      <c r="G459" s="91" t="str">
        <f>IF(Q84="","",Q84)</f>
        <v/>
      </c>
      <c r="H459" s="91" t="str">
        <f>IF(R84="","",R84)</f>
        <v/>
      </c>
      <c r="I459" s="90" t="str">
        <f>IF(S84="","",S84)</f>
        <v/>
      </c>
      <c r="J459" s="90" t="str">
        <f>IF(T84="","",T84)</f>
        <v/>
      </c>
      <c r="K459" s="91" t="str">
        <f>IF(U84="","",U84)</f>
        <v/>
      </c>
      <c r="L459" s="91" t="str">
        <f>IF(V84="","",V84)</f>
        <v/>
      </c>
      <c r="M459" s="85"/>
      <c r="N459" s="86"/>
      <c r="O459" s="83"/>
      <c r="P459" s="83"/>
      <c r="Q459" s="83"/>
      <c r="R459" s="83"/>
      <c r="S459" s="83"/>
      <c r="T459" s="83"/>
      <c r="U459" s="83"/>
      <c r="V459" s="84"/>
      <c r="W459" s="83"/>
      <c r="X459" s="83"/>
      <c r="Y459" s="83"/>
      <c r="Z459" s="83"/>
      <c r="AA459" s="83"/>
      <c r="AB459" s="84"/>
      <c r="AC459" s="83"/>
      <c r="AD459" s="83"/>
      <c r="AE459" s="83"/>
      <c r="AF459"/>
    </row>
    <row r="460" spans="2:32" ht="26.25" hidden="1" x14ac:dyDescent="0.4">
      <c r="B460" s="9">
        <f t="shared" si="65"/>
        <v>83</v>
      </c>
      <c r="C460" s="29" t="str">
        <f t="shared" si="64"/>
        <v/>
      </c>
      <c r="D460" s="58" t="str">
        <f>IF(N85="","",N85)</f>
        <v/>
      </c>
      <c r="E460" s="88" t="str">
        <f>IF(O85="","",O85)</f>
        <v/>
      </c>
      <c r="F460" s="88" t="str">
        <f>IF(P85="","",P85)</f>
        <v/>
      </c>
      <c r="G460" s="89" t="str">
        <f>IF(Q85="","",Q85)</f>
        <v/>
      </c>
      <c r="H460" s="89" t="str">
        <f>IF(R85="","",R85)</f>
        <v/>
      </c>
      <c r="I460" s="88" t="str">
        <f>IF(S85="","",S85)</f>
        <v/>
      </c>
      <c r="J460" s="88" t="str">
        <f>IF(T85="","",T85)</f>
        <v/>
      </c>
      <c r="K460" s="89" t="str">
        <f>IF(U85="","",U85)</f>
        <v/>
      </c>
      <c r="L460" s="89" t="str">
        <f>IF(V85="","",V85)</f>
        <v/>
      </c>
      <c r="M460" s="85"/>
      <c r="N460" s="86"/>
      <c r="O460" s="83"/>
      <c r="P460" s="83"/>
      <c r="Q460" s="83"/>
      <c r="R460" s="83"/>
      <c r="S460" s="83"/>
      <c r="T460" s="83"/>
      <c r="U460" s="83"/>
      <c r="V460" s="84"/>
      <c r="W460" s="83"/>
      <c r="X460" s="83"/>
      <c r="Y460" s="83"/>
      <c r="Z460" s="83"/>
      <c r="AA460" s="83"/>
      <c r="AB460" s="84"/>
      <c r="AC460" s="83"/>
      <c r="AD460" s="83"/>
      <c r="AE460" s="83"/>
      <c r="AF460"/>
    </row>
    <row r="461" spans="2:32" ht="26.25" hidden="1" x14ac:dyDescent="0.4">
      <c r="B461" s="9">
        <f t="shared" si="65"/>
        <v>84</v>
      </c>
      <c r="C461" s="29" t="str">
        <f t="shared" si="64"/>
        <v/>
      </c>
      <c r="D461" s="59" t="str">
        <f>IF(N86="","",N86)</f>
        <v/>
      </c>
      <c r="E461" s="90" t="str">
        <f>IF(O86="","",O86)</f>
        <v/>
      </c>
      <c r="F461" s="90" t="str">
        <f>IF(P86="","",P86)</f>
        <v/>
      </c>
      <c r="G461" s="91" t="str">
        <f>IF(Q86="","",Q86)</f>
        <v/>
      </c>
      <c r="H461" s="91" t="str">
        <f>IF(R86="","",R86)</f>
        <v/>
      </c>
      <c r="I461" s="90" t="str">
        <f>IF(S86="","",S86)</f>
        <v/>
      </c>
      <c r="J461" s="90" t="str">
        <f>IF(T86="","",T86)</f>
        <v/>
      </c>
      <c r="K461" s="91" t="str">
        <f>IF(U86="","",U86)</f>
        <v/>
      </c>
      <c r="L461" s="91" t="str">
        <f>IF(V86="","",V86)</f>
        <v/>
      </c>
      <c r="M461" s="85"/>
      <c r="N461" s="86"/>
      <c r="O461" s="83"/>
      <c r="P461" s="83"/>
      <c r="Q461" s="83"/>
      <c r="R461" s="83"/>
      <c r="S461" s="83"/>
      <c r="T461" s="83"/>
      <c r="U461" s="83"/>
      <c r="V461" s="84"/>
      <c r="W461" s="83"/>
      <c r="X461" s="83"/>
      <c r="Y461" s="83"/>
      <c r="Z461" s="83"/>
      <c r="AA461" s="83"/>
      <c r="AB461" s="84"/>
      <c r="AC461" s="83"/>
      <c r="AD461" s="83"/>
      <c r="AE461" s="83"/>
      <c r="AF461"/>
    </row>
    <row r="462" spans="2:32" ht="26.25" hidden="1" x14ac:dyDescent="0.4">
      <c r="B462" s="9">
        <f t="shared" si="65"/>
        <v>85</v>
      </c>
      <c r="C462" s="29" t="str">
        <f t="shared" si="64"/>
        <v/>
      </c>
      <c r="D462" s="58" t="str">
        <f>IF(N87="","",N87)</f>
        <v/>
      </c>
      <c r="E462" s="88" t="str">
        <f>IF(O87="","",O87)</f>
        <v/>
      </c>
      <c r="F462" s="88" t="str">
        <f>IF(P87="","",P87)</f>
        <v/>
      </c>
      <c r="G462" s="89" t="str">
        <f>IF(Q87="","",Q87)</f>
        <v/>
      </c>
      <c r="H462" s="89" t="str">
        <f>IF(R87="","",R87)</f>
        <v/>
      </c>
      <c r="I462" s="88" t="str">
        <f>IF(S87="","",S87)</f>
        <v/>
      </c>
      <c r="J462" s="88" t="str">
        <f>IF(T87="","",T87)</f>
        <v/>
      </c>
      <c r="K462" s="89" t="str">
        <f>IF(U87="","",U87)</f>
        <v/>
      </c>
      <c r="L462" s="89" t="str">
        <f>IF(V87="","",V87)</f>
        <v/>
      </c>
      <c r="M462" s="85"/>
      <c r="N462" s="86"/>
      <c r="O462" s="83"/>
      <c r="P462" s="83"/>
      <c r="Q462" s="83"/>
      <c r="R462" s="83"/>
      <c r="S462" s="83"/>
      <c r="T462" s="83"/>
      <c r="U462" s="83"/>
      <c r="V462" s="84"/>
      <c r="W462" s="83"/>
      <c r="X462" s="83"/>
      <c r="Y462" s="83"/>
      <c r="Z462" s="83"/>
      <c r="AA462" s="83"/>
      <c r="AB462" s="84"/>
      <c r="AC462" s="83"/>
      <c r="AD462" s="83"/>
      <c r="AE462" s="83"/>
      <c r="AF462"/>
    </row>
    <row r="463" spans="2:32" ht="26.25" hidden="1" x14ac:dyDescent="0.4">
      <c r="B463" s="9">
        <f t="shared" si="65"/>
        <v>86</v>
      </c>
      <c r="C463" s="29" t="str">
        <f t="shared" si="64"/>
        <v/>
      </c>
      <c r="D463" s="59" t="str">
        <f>IF(N88="","",N88)</f>
        <v/>
      </c>
      <c r="E463" s="90" t="str">
        <f>IF(O88="","",O88)</f>
        <v/>
      </c>
      <c r="F463" s="90" t="str">
        <f>IF(P88="","",P88)</f>
        <v/>
      </c>
      <c r="G463" s="91" t="str">
        <f>IF(Q88="","",Q88)</f>
        <v/>
      </c>
      <c r="H463" s="91" t="str">
        <f>IF(R88="","",R88)</f>
        <v/>
      </c>
      <c r="I463" s="90" t="str">
        <f>IF(S88="","",S88)</f>
        <v/>
      </c>
      <c r="J463" s="90" t="str">
        <f>IF(T88="","",T88)</f>
        <v/>
      </c>
      <c r="K463" s="91" t="str">
        <f>IF(U88="","",U88)</f>
        <v/>
      </c>
      <c r="L463" s="91" t="str">
        <f>IF(V88="","",V88)</f>
        <v/>
      </c>
      <c r="M463" s="85"/>
      <c r="N463" s="86"/>
      <c r="O463" s="83"/>
      <c r="P463" s="83"/>
      <c r="Q463" s="83"/>
      <c r="R463" s="83"/>
      <c r="S463" s="83"/>
      <c r="T463" s="83"/>
      <c r="U463" s="83"/>
      <c r="V463" s="84"/>
      <c r="W463" s="83"/>
      <c r="X463" s="83"/>
      <c r="Y463" s="83"/>
      <c r="Z463" s="83"/>
      <c r="AA463" s="83"/>
      <c r="AB463" s="84"/>
      <c r="AC463" s="83"/>
      <c r="AD463" s="83"/>
      <c r="AE463" s="83"/>
      <c r="AF463"/>
    </row>
    <row r="464" spans="2:32" ht="26.25" hidden="1" x14ac:dyDescent="0.4">
      <c r="B464" s="9">
        <f t="shared" si="65"/>
        <v>87</v>
      </c>
      <c r="C464" s="29" t="str">
        <f t="shared" si="64"/>
        <v/>
      </c>
      <c r="D464" s="58" t="str">
        <f>IF(N89="","",N89)</f>
        <v/>
      </c>
      <c r="E464" s="88" t="str">
        <f>IF(O89="","",O89)</f>
        <v/>
      </c>
      <c r="F464" s="88" t="str">
        <f>IF(P89="","",P89)</f>
        <v/>
      </c>
      <c r="G464" s="89" t="str">
        <f>IF(Q89="","",Q89)</f>
        <v/>
      </c>
      <c r="H464" s="89" t="str">
        <f>IF(R89="","",R89)</f>
        <v/>
      </c>
      <c r="I464" s="88" t="str">
        <f>IF(S89="","",S89)</f>
        <v/>
      </c>
      <c r="J464" s="88" t="str">
        <f>IF(T89="","",T89)</f>
        <v/>
      </c>
      <c r="K464" s="89" t="str">
        <f>IF(U89="","",U89)</f>
        <v/>
      </c>
      <c r="L464" s="89" t="str">
        <f>IF(V89="","",V89)</f>
        <v/>
      </c>
      <c r="M464" s="85"/>
      <c r="N464" s="86"/>
      <c r="O464" s="83"/>
      <c r="P464" s="83"/>
      <c r="Q464" s="83"/>
      <c r="R464" s="83"/>
      <c r="S464" s="83"/>
      <c r="T464" s="83"/>
      <c r="U464" s="83"/>
      <c r="V464" s="84"/>
      <c r="W464" s="83"/>
      <c r="X464" s="83"/>
      <c r="Y464" s="83"/>
      <c r="Z464" s="83"/>
      <c r="AA464" s="83"/>
      <c r="AB464" s="84"/>
      <c r="AC464" s="83"/>
      <c r="AD464" s="83"/>
      <c r="AE464" s="83"/>
      <c r="AF464"/>
    </row>
    <row r="465" spans="2:32" ht="26.25" hidden="1" x14ac:dyDescent="0.4">
      <c r="B465" s="9">
        <f t="shared" si="65"/>
        <v>88</v>
      </c>
      <c r="C465" s="29" t="str">
        <f t="shared" si="64"/>
        <v/>
      </c>
      <c r="D465" s="59" t="str">
        <f>IF(N90="","",N90)</f>
        <v/>
      </c>
      <c r="E465" s="90" t="str">
        <f>IF(O90="","",O90)</f>
        <v/>
      </c>
      <c r="F465" s="90" t="str">
        <f>IF(P90="","",P90)</f>
        <v/>
      </c>
      <c r="G465" s="91" t="str">
        <f>IF(Q90="","",Q90)</f>
        <v/>
      </c>
      <c r="H465" s="91" t="str">
        <f>IF(R90="","",R90)</f>
        <v/>
      </c>
      <c r="I465" s="90" t="str">
        <f>IF(S90="","",S90)</f>
        <v/>
      </c>
      <c r="J465" s="90" t="str">
        <f>IF(T90="","",T90)</f>
        <v/>
      </c>
      <c r="K465" s="91" t="str">
        <f>IF(U90="","",U90)</f>
        <v/>
      </c>
      <c r="L465" s="91" t="str">
        <f>IF(V90="","",V90)</f>
        <v/>
      </c>
      <c r="M465" s="85"/>
      <c r="N465" s="86"/>
      <c r="O465" s="83"/>
      <c r="P465" s="83"/>
      <c r="Q465" s="83"/>
      <c r="R465" s="83"/>
      <c r="S465" s="83"/>
      <c r="T465" s="83"/>
      <c r="U465" s="83"/>
      <c r="V465" s="84"/>
      <c r="W465" s="83"/>
      <c r="X465" s="83"/>
      <c r="Y465" s="83"/>
      <c r="Z465" s="83"/>
      <c r="AA465" s="83"/>
      <c r="AB465" s="84"/>
      <c r="AC465" s="83"/>
      <c r="AD465" s="83"/>
      <c r="AE465" s="83"/>
      <c r="AF465"/>
    </row>
    <row r="466" spans="2:32" ht="26.25" hidden="1" x14ac:dyDescent="0.4">
      <c r="B466" s="9">
        <f t="shared" si="65"/>
        <v>89</v>
      </c>
      <c r="C466" s="29" t="str">
        <f t="shared" si="64"/>
        <v/>
      </c>
      <c r="D466" s="58" t="str">
        <f>IF(N91="","",N91)</f>
        <v/>
      </c>
      <c r="E466" s="88" t="str">
        <f>IF(O91="","",O91)</f>
        <v/>
      </c>
      <c r="F466" s="88" t="str">
        <f>IF(P91="","",P91)</f>
        <v/>
      </c>
      <c r="G466" s="89" t="str">
        <f>IF(Q91="","",Q91)</f>
        <v/>
      </c>
      <c r="H466" s="89" t="str">
        <f>IF(R91="","",R91)</f>
        <v/>
      </c>
      <c r="I466" s="88" t="str">
        <f>IF(S91="","",S91)</f>
        <v/>
      </c>
      <c r="J466" s="88" t="str">
        <f>IF(T91="","",T91)</f>
        <v/>
      </c>
      <c r="K466" s="89" t="str">
        <f>IF(U91="","",U91)</f>
        <v/>
      </c>
      <c r="L466" s="89" t="str">
        <f>IF(V91="","",V91)</f>
        <v/>
      </c>
      <c r="M466" s="85"/>
      <c r="N466" s="86"/>
      <c r="O466" s="83"/>
      <c r="P466" s="83"/>
      <c r="Q466" s="83"/>
      <c r="R466" s="83"/>
      <c r="S466" s="83"/>
      <c r="T466" s="83"/>
      <c r="U466" s="83"/>
      <c r="V466" s="84"/>
      <c r="W466" s="83"/>
      <c r="X466" s="83"/>
      <c r="Y466" s="83"/>
      <c r="Z466" s="83"/>
      <c r="AA466" s="83"/>
      <c r="AB466" s="84"/>
      <c r="AC466" s="83"/>
      <c r="AD466" s="83"/>
      <c r="AE466" s="83"/>
      <c r="AF466"/>
    </row>
    <row r="467" spans="2:32" ht="26.25" hidden="1" x14ac:dyDescent="0.4">
      <c r="B467" s="9">
        <f t="shared" si="65"/>
        <v>90</v>
      </c>
      <c r="C467" s="29" t="str">
        <f t="shared" si="64"/>
        <v/>
      </c>
      <c r="D467" s="59" t="str">
        <f>IF(N92="","",N92)</f>
        <v/>
      </c>
      <c r="E467" s="90" t="str">
        <f>IF(O92="","",O92)</f>
        <v/>
      </c>
      <c r="F467" s="90" t="str">
        <f>IF(P92="","",P92)</f>
        <v/>
      </c>
      <c r="G467" s="91" t="str">
        <f>IF(Q92="","",Q92)</f>
        <v/>
      </c>
      <c r="H467" s="91" t="str">
        <f>IF(R92="","",R92)</f>
        <v/>
      </c>
      <c r="I467" s="90" t="str">
        <f>IF(S92="","",S92)</f>
        <v/>
      </c>
      <c r="J467" s="90" t="str">
        <f>IF(T92="","",T92)</f>
        <v/>
      </c>
      <c r="K467" s="91" t="str">
        <f>IF(U92="","",U92)</f>
        <v/>
      </c>
      <c r="L467" s="91" t="str">
        <f>IF(V92="","",V92)</f>
        <v/>
      </c>
      <c r="M467" s="85"/>
      <c r="N467" s="86"/>
      <c r="O467" s="83"/>
      <c r="P467" s="83"/>
      <c r="Q467" s="83"/>
      <c r="R467" s="83"/>
      <c r="S467" s="83"/>
      <c r="T467" s="83"/>
      <c r="U467" s="83"/>
      <c r="V467" s="84"/>
      <c r="W467" s="83"/>
      <c r="X467" s="83"/>
      <c r="Y467" s="83"/>
      <c r="Z467" s="83"/>
      <c r="AA467" s="83"/>
      <c r="AB467" s="84"/>
      <c r="AC467" s="83"/>
      <c r="AD467" s="83"/>
      <c r="AE467" s="83"/>
      <c r="AF467"/>
    </row>
    <row r="468" spans="2:32" ht="26.25" hidden="1" x14ac:dyDescent="0.4">
      <c r="B468" s="9">
        <f t="shared" si="65"/>
        <v>91</v>
      </c>
      <c r="C468" s="29" t="str">
        <f t="shared" si="64"/>
        <v/>
      </c>
      <c r="D468" s="58" t="str">
        <f>IF(N93="","",N93)</f>
        <v/>
      </c>
      <c r="E468" s="88" t="str">
        <f>IF(O93="","",O93)</f>
        <v/>
      </c>
      <c r="F468" s="88" t="str">
        <f>IF(P93="","",P93)</f>
        <v/>
      </c>
      <c r="G468" s="89" t="str">
        <f>IF(Q93="","",Q93)</f>
        <v/>
      </c>
      <c r="H468" s="89" t="str">
        <f>IF(R93="","",R93)</f>
        <v/>
      </c>
      <c r="I468" s="88" t="str">
        <f>IF(S93="","",S93)</f>
        <v/>
      </c>
      <c r="J468" s="88" t="str">
        <f>IF(T93="","",T93)</f>
        <v/>
      </c>
      <c r="K468" s="89" t="str">
        <f>IF(U93="","",U93)</f>
        <v/>
      </c>
      <c r="L468" s="89" t="str">
        <f>IF(V93="","",V93)</f>
        <v/>
      </c>
      <c r="M468" s="85"/>
      <c r="N468" s="86"/>
      <c r="O468" s="83"/>
      <c r="P468" s="83"/>
      <c r="Q468" s="83"/>
      <c r="R468" s="83"/>
      <c r="S468" s="83"/>
      <c r="T468" s="83"/>
      <c r="U468" s="83"/>
      <c r="V468" s="84"/>
      <c r="W468" s="83"/>
      <c r="X468" s="83"/>
      <c r="Y468" s="83"/>
      <c r="Z468" s="83"/>
      <c r="AA468" s="83"/>
      <c r="AB468" s="84"/>
      <c r="AC468" s="83"/>
      <c r="AD468" s="83"/>
      <c r="AE468" s="83"/>
      <c r="AF468"/>
    </row>
    <row r="469" spans="2:32" ht="26.25" hidden="1" x14ac:dyDescent="0.4">
      <c r="B469" s="9">
        <f t="shared" si="65"/>
        <v>92</v>
      </c>
      <c r="C469" s="29" t="str">
        <f t="shared" si="64"/>
        <v/>
      </c>
      <c r="D469" s="59" t="str">
        <f>IF(N94="","",N94)</f>
        <v/>
      </c>
      <c r="E469" s="90" t="str">
        <f>IF(O94="","",O94)</f>
        <v/>
      </c>
      <c r="F469" s="90" t="str">
        <f>IF(P94="","",P94)</f>
        <v/>
      </c>
      <c r="G469" s="91" t="str">
        <f>IF(Q94="","",Q94)</f>
        <v/>
      </c>
      <c r="H469" s="91" t="str">
        <f>IF(R94="","",R94)</f>
        <v/>
      </c>
      <c r="I469" s="90" t="str">
        <f>IF(S94="","",S94)</f>
        <v/>
      </c>
      <c r="J469" s="90" t="str">
        <f>IF(T94="","",T94)</f>
        <v/>
      </c>
      <c r="K469" s="91" t="str">
        <f>IF(U94="","",U94)</f>
        <v/>
      </c>
      <c r="L469" s="91" t="str">
        <f>IF(V94="","",V94)</f>
        <v/>
      </c>
      <c r="M469" s="85"/>
      <c r="N469" s="86"/>
      <c r="O469" s="83"/>
      <c r="P469" s="83"/>
      <c r="Q469" s="83"/>
      <c r="R469" s="83"/>
      <c r="S469" s="83"/>
      <c r="T469" s="83"/>
      <c r="U469" s="83"/>
      <c r="V469" s="84"/>
      <c r="W469" s="83"/>
      <c r="X469" s="83"/>
      <c r="Y469" s="83"/>
      <c r="Z469" s="83"/>
      <c r="AA469" s="83"/>
      <c r="AB469" s="84"/>
      <c r="AC469" s="83"/>
      <c r="AD469" s="83"/>
      <c r="AE469" s="83"/>
      <c r="AF469"/>
    </row>
    <row r="470" spans="2:32" ht="26.25" hidden="1" x14ac:dyDescent="0.4">
      <c r="B470" s="9">
        <f t="shared" si="65"/>
        <v>93</v>
      </c>
      <c r="C470" s="29" t="str">
        <f t="shared" si="64"/>
        <v/>
      </c>
      <c r="D470" s="58" t="str">
        <f>IF(N95="","",N95)</f>
        <v/>
      </c>
      <c r="E470" s="88" t="str">
        <f>IF(O95="","",O95)</f>
        <v/>
      </c>
      <c r="F470" s="88" t="str">
        <f>IF(P95="","",P95)</f>
        <v/>
      </c>
      <c r="G470" s="89" t="str">
        <f>IF(Q95="","",Q95)</f>
        <v/>
      </c>
      <c r="H470" s="89" t="str">
        <f>IF(R95="","",R95)</f>
        <v/>
      </c>
      <c r="I470" s="88" t="str">
        <f>IF(S95="","",S95)</f>
        <v/>
      </c>
      <c r="J470" s="88" t="str">
        <f>IF(T95="","",T95)</f>
        <v/>
      </c>
      <c r="K470" s="89" t="str">
        <f>IF(U95="","",U95)</f>
        <v/>
      </c>
      <c r="L470" s="89" t="str">
        <f>IF(V95="","",V95)</f>
        <v/>
      </c>
      <c r="M470" s="85"/>
      <c r="N470" s="86"/>
      <c r="O470" s="83"/>
      <c r="P470" s="83"/>
      <c r="Q470" s="83"/>
      <c r="R470" s="83"/>
      <c r="S470" s="83"/>
      <c r="T470" s="83"/>
      <c r="U470" s="83"/>
      <c r="V470" s="84"/>
      <c r="W470" s="83"/>
      <c r="X470" s="83"/>
      <c r="Y470" s="83"/>
      <c r="Z470" s="83"/>
      <c r="AA470" s="83"/>
      <c r="AB470" s="84"/>
      <c r="AC470" s="83"/>
      <c r="AD470" s="83"/>
      <c r="AE470" s="83"/>
      <c r="AF470"/>
    </row>
    <row r="471" spans="2:32" ht="26.25" hidden="1" x14ac:dyDescent="0.4">
      <c r="B471" s="9">
        <f t="shared" si="65"/>
        <v>94</v>
      </c>
      <c r="C471" s="29" t="str">
        <f t="shared" si="64"/>
        <v/>
      </c>
      <c r="D471" s="59" t="str">
        <f>IF(N96="","",N96)</f>
        <v/>
      </c>
      <c r="E471" s="90" t="str">
        <f>IF(O96="","",O96)</f>
        <v/>
      </c>
      <c r="F471" s="90" t="str">
        <f>IF(P96="","",P96)</f>
        <v/>
      </c>
      <c r="G471" s="91" t="str">
        <f>IF(Q96="","",Q96)</f>
        <v/>
      </c>
      <c r="H471" s="91" t="str">
        <f>IF(R96="","",R96)</f>
        <v/>
      </c>
      <c r="I471" s="90" t="str">
        <f>IF(S96="","",S96)</f>
        <v/>
      </c>
      <c r="J471" s="90" t="str">
        <f>IF(T96="","",T96)</f>
        <v/>
      </c>
      <c r="K471" s="91" t="str">
        <f>IF(U96="","",U96)</f>
        <v/>
      </c>
      <c r="L471" s="91" t="str">
        <f>IF(V96="","",V96)</f>
        <v/>
      </c>
      <c r="M471" s="85"/>
      <c r="N471" s="86"/>
      <c r="O471" s="83"/>
      <c r="P471" s="83"/>
      <c r="Q471" s="83"/>
      <c r="R471" s="83"/>
      <c r="S471" s="83"/>
      <c r="T471" s="83"/>
      <c r="U471" s="83"/>
      <c r="V471" s="84"/>
      <c r="W471" s="83"/>
      <c r="X471" s="83"/>
      <c r="Y471" s="83"/>
      <c r="Z471" s="83"/>
      <c r="AA471" s="83"/>
      <c r="AB471" s="84"/>
      <c r="AC471" s="83"/>
      <c r="AD471" s="83"/>
      <c r="AE471" s="83"/>
      <c r="AF471"/>
    </row>
    <row r="472" spans="2:32" ht="26.25" hidden="1" x14ac:dyDescent="0.4">
      <c r="B472" s="9">
        <f t="shared" si="65"/>
        <v>95</v>
      </c>
      <c r="C472" s="29" t="str">
        <f t="shared" si="64"/>
        <v/>
      </c>
      <c r="D472" s="58" t="str">
        <f>IF(N97="","",N97)</f>
        <v/>
      </c>
      <c r="E472" s="88" t="str">
        <f>IF(O97="","",O97)</f>
        <v/>
      </c>
      <c r="F472" s="88" t="str">
        <f>IF(P97="","",P97)</f>
        <v/>
      </c>
      <c r="G472" s="89" t="str">
        <f>IF(Q97="","",Q97)</f>
        <v/>
      </c>
      <c r="H472" s="89" t="str">
        <f>IF(R97="","",R97)</f>
        <v/>
      </c>
      <c r="I472" s="88" t="str">
        <f>IF(S97="","",S97)</f>
        <v/>
      </c>
      <c r="J472" s="88" t="str">
        <f>IF(T97="","",T97)</f>
        <v/>
      </c>
      <c r="K472" s="89" t="str">
        <f>IF(U97="","",U97)</f>
        <v/>
      </c>
      <c r="L472" s="89" t="str">
        <f>IF(V97="","",V97)</f>
        <v/>
      </c>
      <c r="M472" s="85"/>
      <c r="N472" s="86"/>
      <c r="O472" s="83"/>
      <c r="P472" s="83"/>
      <c r="Q472" s="83"/>
      <c r="R472" s="83"/>
      <c r="S472" s="83"/>
      <c r="T472" s="83"/>
      <c r="U472" s="83"/>
      <c r="V472" s="84"/>
      <c r="W472" s="83"/>
      <c r="X472" s="83"/>
      <c r="Y472" s="83"/>
      <c r="Z472" s="83"/>
      <c r="AA472" s="83"/>
      <c r="AB472" s="84"/>
      <c r="AC472" s="83"/>
      <c r="AD472" s="83"/>
      <c r="AE472" s="83"/>
      <c r="AF472"/>
    </row>
    <row r="473" spans="2:32" ht="26.25" hidden="1" x14ac:dyDescent="0.4">
      <c r="B473" s="9">
        <f t="shared" si="65"/>
        <v>96</v>
      </c>
      <c r="C473" s="29" t="str">
        <f t="shared" si="64"/>
        <v/>
      </c>
      <c r="D473" s="59" t="str">
        <f>IF(N98="","",N98)</f>
        <v/>
      </c>
      <c r="E473" s="90" t="str">
        <f>IF(O98="","",O98)</f>
        <v/>
      </c>
      <c r="F473" s="90" t="str">
        <f>IF(P98="","",P98)</f>
        <v/>
      </c>
      <c r="G473" s="91" t="str">
        <f>IF(Q98="","",Q98)</f>
        <v/>
      </c>
      <c r="H473" s="91" t="str">
        <f>IF(R98="","",R98)</f>
        <v/>
      </c>
      <c r="I473" s="90" t="str">
        <f>IF(S98="","",S98)</f>
        <v/>
      </c>
      <c r="J473" s="90" t="str">
        <f>IF(T98="","",T98)</f>
        <v/>
      </c>
      <c r="K473" s="91" t="str">
        <f>IF(U98="","",U98)</f>
        <v/>
      </c>
      <c r="L473" s="91" t="str">
        <f>IF(V98="","",V98)</f>
        <v/>
      </c>
      <c r="M473" s="85"/>
      <c r="N473" s="86"/>
      <c r="O473" s="83"/>
      <c r="P473" s="83"/>
      <c r="Q473" s="83"/>
      <c r="R473" s="83"/>
      <c r="S473" s="83"/>
      <c r="T473" s="83"/>
      <c r="U473" s="83"/>
      <c r="V473" s="84"/>
      <c r="W473" s="83"/>
      <c r="X473" s="83"/>
      <c r="Y473" s="83"/>
      <c r="Z473" s="83"/>
      <c r="AA473" s="83"/>
      <c r="AB473" s="84"/>
      <c r="AC473" s="83"/>
      <c r="AD473" s="83"/>
      <c r="AE473" s="83"/>
      <c r="AF473"/>
    </row>
    <row r="474" spans="2:32" ht="26.25" hidden="1" x14ac:dyDescent="0.4">
      <c r="B474" s="9">
        <f t="shared" si="65"/>
        <v>97</v>
      </c>
      <c r="C474" s="29" t="str">
        <f t="shared" si="64"/>
        <v/>
      </c>
      <c r="D474" s="58" t="str">
        <f>IF(N99="","",N99)</f>
        <v/>
      </c>
      <c r="E474" s="88" t="str">
        <f>IF(O99="","",O99)</f>
        <v/>
      </c>
      <c r="F474" s="88" t="str">
        <f>IF(P99="","",P99)</f>
        <v/>
      </c>
      <c r="G474" s="89" t="str">
        <f>IF(Q99="","",Q99)</f>
        <v/>
      </c>
      <c r="H474" s="89" t="str">
        <f>IF(R99="","",R99)</f>
        <v/>
      </c>
      <c r="I474" s="88" t="str">
        <f>IF(S99="","",S99)</f>
        <v/>
      </c>
      <c r="J474" s="88" t="str">
        <f>IF(T99="","",T99)</f>
        <v/>
      </c>
      <c r="K474" s="89" t="str">
        <f>IF(U99="","",U99)</f>
        <v/>
      </c>
      <c r="L474" s="89" t="str">
        <f>IF(V99="","",V99)</f>
        <v/>
      </c>
      <c r="M474" s="85"/>
      <c r="N474" s="86"/>
      <c r="O474" s="83"/>
      <c r="P474" s="83"/>
      <c r="Q474" s="83"/>
      <c r="R474" s="83"/>
      <c r="S474" s="83"/>
      <c r="T474" s="83"/>
      <c r="U474" s="83"/>
      <c r="V474" s="84"/>
      <c r="W474" s="83"/>
      <c r="X474" s="83"/>
      <c r="Y474" s="83"/>
      <c r="Z474" s="83"/>
      <c r="AA474" s="83"/>
      <c r="AB474" s="84"/>
      <c r="AC474" s="83"/>
      <c r="AD474" s="83"/>
      <c r="AE474" s="83"/>
      <c r="AF474"/>
    </row>
    <row r="475" spans="2:32" ht="26.25" hidden="1" x14ac:dyDescent="0.4">
      <c r="B475" s="9">
        <f t="shared" si="65"/>
        <v>98</v>
      </c>
      <c r="C475" s="29" t="str">
        <f t="shared" si="64"/>
        <v/>
      </c>
      <c r="D475" s="59" t="str">
        <f>IF(N100="","",N100)</f>
        <v/>
      </c>
      <c r="E475" s="90" t="str">
        <f>IF(O100="","",O100)</f>
        <v/>
      </c>
      <c r="F475" s="90" t="str">
        <f>IF(P100="","",P100)</f>
        <v/>
      </c>
      <c r="G475" s="91" t="str">
        <f>IF(Q100="","",Q100)</f>
        <v/>
      </c>
      <c r="H475" s="91" t="str">
        <f>IF(R100="","",R100)</f>
        <v/>
      </c>
      <c r="I475" s="90" t="str">
        <f>IF(S100="","",S100)</f>
        <v/>
      </c>
      <c r="J475" s="90" t="str">
        <f>IF(T100="","",T100)</f>
        <v/>
      </c>
      <c r="K475" s="91" t="str">
        <f>IF(U100="","",U100)</f>
        <v/>
      </c>
      <c r="L475" s="91" t="str">
        <f>IF(V100="","",V100)</f>
        <v/>
      </c>
      <c r="M475" s="85"/>
      <c r="N475" s="86"/>
      <c r="O475" s="83"/>
      <c r="P475" s="83"/>
      <c r="Q475" s="83"/>
      <c r="R475" s="83"/>
      <c r="S475" s="83"/>
      <c r="T475" s="83"/>
      <c r="U475" s="83"/>
      <c r="V475" s="84"/>
      <c r="W475" s="83"/>
      <c r="X475" s="83"/>
      <c r="Y475" s="83"/>
      <c r="Z475" s="83"/>
      <c r="AA475" s="83"/>
      <c r="AB475" s="84"/>
      <c r="AC475" s="83"/>
      <c r="AD475" s="83"/>
      <c r="AE475" s="83"/>
      <c r="AF475"/>
    </row>
    <row r="476" spans="2:32" ht="26.25" hidden="1" x14ac:dyDescent="0.4">
      <c r="B476" s="9">
        <f t="shared" si="65"/>
        <v>99</v>
      </c>
      <c r="C476" s="29" t="str">
        <f t="shared" si="64"/>
        <v/>
      </c>
      <c r="D476" s="58" t="str">
        <f>IF(N101="","",N101)</f>
        <v/>
      </c>
      <c r="E476" s="88" t="str">
        <f>IF(O101="","",O101)</f>
        <v/>
      </c>
      <c r="F476" s="88" t="str">
        <f>IF(P101="","",P101)</f>
        <v/>
      </c>
      <c r="G476" s="89" t="str">
        <f>IF(Q101="","",Q101)</f>
        <v/>
      </c>
      <c r="H476" s="89" t="str">
        <f>IF(R101="","",R101)</f>
        <v/>
      </c>
      <c r="I476" s="88" t="str">
        <f>IF(S101="","",S101)</f>
        <v/>
      </c>
      <c r="J476" s="88" t="str">
        <f>IF(T101="","",T101)</f>
        <v/>
      </c>
      <c r="K476" s="89" t="str">
        <f>IF(U101="","",U101)</f>
        <v/>
      </c>
      <c r="L476" s="89" t="str">
        <f>IF(V101="","",V101)</f>
        <v/>
      </c>
      <c r="M476" s="85"/>
      <c r="N476" s="86"/>
      <c r="O476" s="83"/>
      <c r="P476" s="83"/>
      <c r="Q476" s="83"/>
      <c r="R476" s="83"/>
      <c r="S476" s="83"/>
      <c r="T476" s="83"/>
      <c r="U476" s="83"/>
      <c r="V476" s="84"/>
      <c r="W476" s="83"/>
      <c r="X476" s="83"/>
      <c r="Y476" s="83"/>
      <c r="Z476" s="83"/>
      <c r="AA476" s="83"/>
      <c r="AB476" s="84"/>
      <c r="AC476" s="83"/>
      <c r="AD476" s="83"/>
      <c r="AE476" s="83"/>
      <c r="AF476"/>
    </row>
    <row r="477" spans="2:32" ht="26.25" hidden="1" x14ac:dyDescent="0.4">
      <c r="B477" s="9">
        <f t="shared" si="65"/>
        <v>100</v>
      </c>
      <c r="C477" s="29" t="str">
        <f t="shared" si="64"/>
        <v/>
      </c>
      <c r="D477" s="59" t="str">
        <f>IF(N102="","",N102)</f>
        <v/>
      </c>
      <c r="E477" s="90" t="str">
        <f>IF(O102="","",O102)</f>
        <v/>
      </c>
      <c r="F477" s="90" t="str">
        <f>IF(P102="","",P102)</f>
        <v/>
      </c>
      <c r="G477" s="91" t="str">
        <f>IF(Q102="","",Q102)</f>
        <v/>
      </c>
      <c r="H477" s="91" t="str">
        <f>IF(R102="","",R102)</f>
        <v/>
      </c>
      <c r="I477" s="90" t="str">
        <f>IF(S102="","",S102)</f>
        <v/>
      </c>
      <c r="J477" s="90" t="str">
        <f>IF(T102="","",T102)</f>
        <v/>
      </c>
      <c r="K477" s="91" t="str">
        <f>IF(U102="","",U102)</f>
        <v/>
      </c>
      <c r="L477" s="91" t="str">
        <f>IF(V102="","",V102)</f>
        <v/>
      </c>
      <c r="M477" s="85"/>
      <c r="N477" s="86"/>
      <c r="O477" s="83"/>
      <c r="P477" s="83"/>
      <c r="Q477" s="83"/>
      <c r="R477" s="83"/>
      <c r="S477" s="83"/>
      <c r="T477" s="83"/>
      <c r="U477" s="83"/>
      <c r="V477" s="84"/>
      <c r="W477" s="83"/>
      <c r="X477" s="83"/>
      <c r="Y477" s="83"/>
      <c r="Z477" s="83"/>
      <c r="AA477" s="83"/>
      <c r="AB477" s="84"/>
      <c r="AC477" s="83"/>
      <c r="AD477" s="83"/>
      <c r="AE477" s="83"/>
      <c r="AF477"/>
    </row>
    <row r="478" spans="2:32" ht="26.25" hidden="1" x14ac:dyDescent="0.4">
      <c r="B478" s="9">
        <f t="shared" si="65"/>
        <v>101</v>
      </c>
      <c r="C478" s="29" t="str">
        <f t="shared" si="64"/>
        <v/>
      </c>
      <c r="D478" s="58" t="str">
        <f>IF(N103="","",N103)</f>
        <v/>
      </c>
      <c r="E478" s="88" t="str">
        <f>IF(O103="","",O103)</f>
        <v/>
      </c>
      <c r="F478" s="88" t="str">
        <f>IF(P103="","",P103)</f>
        <v/>
      </c>
      <c r="G478" s="89" t="str">
        <f>IF(Q103="","",Q103)</f>
        <v/>
      </c>
      <c r="H478" s="89" t="str">
        <f>IF(R103="","",R103)</f>
        <v/>
      </c>
      <c r="I478" s="88" t="str">
        <f>IF(S103="","",S103)</f>
        <v/>
      </c>
      <c r="J478" s="88" t="str">
        <f>IF(T103="","",T103)</f>
        <v/>
      </c>
      <c r="K478" s="89" t="str">
        <f>IF(U103="","",U103)</f>
        <v/>
      </c>
      <c r="L478" s="89" t="str">
        <f>IF(V103="","",V103)</f>
        <v/>
      </c>
      <c r="M478" s="85"/>
      <c r="N478" s="86"/>
      <c r="O478" s="83"/>
      <c r="P478" s="83"/>
      <c r="Q478" s="83"/>
      <c r="R478" s="83"/>
      <c r="S478" s="83"/>
      <c r="T478" s="83"/>
      <c r="U478" s="83"/>
      <c r="V478" s="84"/>
      <c r="W478" s="83"/>
      <c r="X478" s="83"/>
      <c r="Y478" s="83"/>
      <c r="Z478" s="83"/>
      <c r="AA478" s="83"/>
      <c r="AB478" s="84"/>
      <c r="AC478" s="83"/>
      <c r="AD478" s="83"/>
      <c r="AE478" s="83"/>
      <c r="AF478"/>
    </row>
    <row r="479" spans="2:32" ht="36.75" x14ac:dyDescent="0.4">
      <c r="C479" s="81" t="s">
        <v>58</v>
      </c>
      <c r="E479" s="83"/>
      <c r="F479" s="84"/>
      <c r="G479" s="84"/>
      <c r="H479" s="84"/>
      <c r="I479" s="84"/>
      <c r="J479" s="85"/>
      <c r="K479" s="85"/>
      <c r="L479" s="85"/>
      <c r="M479" s="85"/>
      <c r="N479" s="86"/>
      <c r="O479" s="85"/>
      <c r="P479" s="92"/>
      <c r="Q479" s="85"/>
      <c r="R479" s="93"/>
      <c r="S479" s="83"/>
      <c r="T479" s="83"/>
      <c r="U479" s="83"/>
      <c r="V479" s="83"/>
      <c r="W479" s="83"/>
      <c r="X479" s="83"/>
      <c r="Y479" s="84"/>
      <c r="Z479" s="83"/>
      <c r="AA479" s="83"/>
      <c r="AB479" s="83"/>
      <c r="AC479" s="83"/>
      <c r="AD479" s="83"/>
      <c r="AE479" s="83"/>
    </row>
    <row r="480" spans="2:32" x14ac:dyDescent="0.4">
      <c r="C480" s="18" t="s">
        <v>87</v>
      </c>
      <c r="E480" s="83"/>
      <c r="F480" s="83" t="s">
        <v>51</v>
      </c>
      <c r="G480" s="83" t="s">
        <v>59</v>
      </c>
      <c r="H480" s="83" t="s">
        <v>2</v>
      </c>
      <c r="I480" s="83"/>
      <c r="J480" s="94" t="s">
        <v>60</v>
      </c>
      <c r="K480" s="84"/>
      <c r="L480" s="83" t="s">
        <v>51</v>
      </c>
      <c r="M480" s="83"/>
      <c r="N480" s="86" t="s">
        <v>59</v>
      </c>
      <c r="O480" s="83" t="s">
        <v>2</v>
      </c>
      <c r="P480" s="87"/>
      <c r="Q480" s="85" t="s">
        <v>60</v>
      </c>
      <c r="R480" s="86"/>
      <c r="S480" s="83" t="s">
        <v>51</v>
      </c>
      <c r="T480" s="83"/>
      <c r="U480" s="83" t="s">
        <v>59</v>
      </c>
      <c r="V480" s="83" t="s">
        <v>2</v>
      </c>
      <c r="W480" s="83"/>
      <c r="X480" s="83" t="s">
        <v>60</v>
      </c>
      <c r="Y480" s="84"/>
      <c r="Z480" s="83"/>
      <c r="AA480" s="83"/>
      <c r="AB480" s="83"/>
      <c r="AC480" s="83"/>
      <c r="AD480" s="83"/>
      <c r="AE480" s="83"/>
    </row>
    <row r="481" spans="1:32" ht="24.75" hidden="1" x14ac:dyDescent="0.4">
      <c r="A481" s="9" t="str">
        <f t="shared" ref="A481:A544" si="66">_xlfn.CONCAT("/* ",B481, " */   ","[ac(""",""", ""","","cp0","""",","""")],")</f>
        <v>/* 1 */   [ac("", "cp0","")],</v>
      </c>
      <c r="B481" s="9">
        <v>1</v>
      </c>
      <c r="C481" s="9" t="str">
        <f>IF(D481="","",IF(F481="",A481,_xlfn.CONCAT("/* ",B481,"*/      ",E481:AF481)))</f>
        <v/>
      </c>
      <c r="D481" s="39" t="str">
        <f>IF(D378="","","hay letras")</f>
        <v/>
      </c>
      <c r="E481" s="60" t="s">
        <v>52</v>
      </c>
      <c r="F481" s="61" t="str">
        <f>IF(E378="","",E378)</f>
        <v/>
      </c>
      <c r="G481" s="42" t="s">
        <v>53</v>
      </c>
      <c r="H481" s="61" t="str">
        <f>IF(F481="","",14)</f>
        <v/>
      </c>
      <c r="I481" s="42" t="s">
        <v>54</v>
      </c>
      <c r="J481" s="41" t="str">
        <f>IF(F378="","",F378)</f>
        <v/>
      </c>
      <c r="K481" s="40" t="str">
        <f>IF(F481&lt;&gt;"",IF(L481="",""")],","""), ac("""),"")</f>
        <v/>
      </c>
      <c r="L481" s="43" t="str">
        <f>IF(G378="","",G378)</f>
        <v/>
      </c>
      <c r="M481" s="44" t="str">
        <f t="shared" ref="M481:M520" si="67">IF(L481="","",""",""")</f>
        <v/>
      </c>
      <c r="N481" s="45" t="str">
        <f t="shared" ref="N481:N520" si="68">IF(L481="","","cp")</f>
        <v/>
      </c>
      <c r="O481" s="43" t="str">
        <f>IF(L481="","",90)</f>
        <v/>
      </c>
      <c r="P481" s="45" t="str">
        <f t="shared" ref="P481:P520" si="69">IF(L481="","",""",""")</f>
        <v/>
      </c>
      <c r="Q481" s="47" t="str">
        <f>IF(H378="","",H378)</f>
        <v/>
      </c>
      <c r="R481" s="40" t="str">
        <f t="shared" ref="R481:R520" si="70">IF(L481&lt;&gt;"",IF(S481="",""")],","""), ac("""),"")</f>
        <v/>
      </c>
      <c r="S481" s="61" t="str">
        <f>IF(I378="","",I378)</f>
        <v/>
      </c>
      <c r="T481" s="42" t="str">
        <f t="shared" ref="T481:T520" si="71">IF(S481="","",""",""")</f>
        <v/>
      </c>
      <c r="U481" s="42" t="str">
        <f t="shared" ref="U481:U520" si="72">IF(S481="","","cp")</f>
        <v/>
      </c>
      <c r="V481" s="61" t="str">
        <f t="shared" ref="V481:V520" si="73">IF(S481="","",150)</f>
        <v/>
      </c>
      <c r="W481" s="62" t="str">
        <f t="shared" ref="W481:W520" si="74">IF(S481="","",""",""")</f>
        <v/>
      </c>
      <c r="X481" s="41" t="str">
        <f>IF(J378="","",J378)</f>
        <v/>
      </c>
      <c r="Y481" s="40" t="str">
        <f t="shared" ref="Y481:Y520" si="75">IF(S481&lt;&gt;"",IF(Z481="",""")],","""), ac("""),"")</f>
        <v/>
      </c>
      <c r="Z481" s="47" t="str">
        <f>IF(K378="","",K378)</f>
        <v/>
      </c>
      <c r="AA481" s="47" t="str">
        <f t="shared" ref="AA481:AA520" si="76">IF(Z481="","",""",""")</f>
        <v/>
      </c>
      <c r="AB481" s="47" t="str">
        <f t="shared" ref="AB481:AB520" si="77">IF(Z481="","","cp")</f>
        <v/>
      </c>
      <c r="AC481" s="47" t="str">
        <f>IF(Z481="","",250)</f>
        <v/>
      </c>
      <c r="AD481" s="47" t="str">
        <f t="shared" ref="AD481:AD520" si="78">IF(Z481="","",""",""")</f>
        <v/>
      </c>
      <c r="AE481" s="47" t="str">
        <f>IF(L378="","",L378)</f>
        <v/>
      </c>
      <c r="AF481" s="40" t="str">
        <f>IF(Z481&lt;&gt;"",IF(AG188="",""")],","), ac("),"")</f>
        <v/>
      </c>
    </row>
    <row r="482" spans="1:32" ht="24.75" hidden="1" x14ac:dyDescent="0.4">
      <c r="A482" s="9" t="str">
        <f t="shared" si="66"/>
        <v>/* 2 */   [ac("", "cp0","")],</v>
      </c>
      <c r="B482" s="9">
        <f>+B481+1</f>
        <v>2</v>
      </c>
      <c r="C482" s="9" t="str">
        <f>IF(D482="","",IF(F482="",A482,_xlfn.CONCAT("/* ",B482,"*/      ",E482:AF482)))</f>
        <v/>
      </c>
      <c r="D482" s="39" t="str">
        <f>IF(D379="","","hay letras")</f>
        <v/>
      </c>
      <c r="E482" s="60" t="s">
        <v>52</v>
      </c>
      <c r="F482" s="63" t="str">
        <f>IF(E379="","",E379)</f>
        <v/>
      </c>
      <c r="G482" s="64" t="s">
        <v>53</v>
      </c>
      <c r="H482" s="63" t="str">
        <f t="shared" ref="H482:H520" si="79">IF(F482="","",14)</f>
        <v/>
      </c>
      <c r="I482" s="64" t="s">
        <v>54</v>
      </c>
      <c r="J482" s="48" t="str">
        <f>IF(F379="","",F379)</f>
        <v/>
      </c>
      <c r="K482" s="40" t="str">
        <f t="shared" ref="K482:K520" si="80">IF(F482&lt;&gt;"",IF(L482="",""")],","""), ac("""),"")</f>
        <v/>
      </c>
      <c r="L482" s="50" t="str">
        <f>IF(G379="","",G379)</f>
        <v/>
      </c>
      <c r="M482" s="51" t="str">
        <f t="shared" si="67"/>
        <v/>
      </c>
      <c r="N482" s="52" t="str">
        <f t="shared" si="68"/>
        <v/>
      </c>
      <c r="O482" s="50" t="str">
        <f t="shared" ref="O482:O520" si="81">IF(L482="","",90)</f>
        <v/>
      </c>
      <c r="P482" s="52" t="str">
        <f t="shared" si="69"/>
        <v/>
      </c>
      <c r="Q482" s="54" t="str">
        <f>IF(H379="","",H379)</f>
        <v/>
      </c>
      <c r="R482" s="40" t="str">
        <f t="shared" si="70"/>
        <v/>
      </c>
      <c r="S482" s="63" t="str">
        <f>IF(I379="","",I379)</f>
        <v/>
      </c>
      <c r="T482" s="64" t="str">
        <f t="shared" si="71"/>
        <v/>
      </c>
      <c r="U482" s="64" t="str">
        <f t="shared" si="72"/>
        <v/>
      </c>
      <c r="V482" s="63" t="str">
        <f t="shared" si="73"/>
        <v/>
      </c>
      <c r="W482" s="64" t="str">
        <f t="shared" si="74"/>
        <v/>
      </c>
      <c r="X482" s="48" t="str">
        <f>IF(J379="","",J379)</f>
        <v/>
      </c>
      <c r="Y482" s="40" t="str">
        <f t="shared" si="75"/>
        <v/>
      </c>
      <c r="Z482" s="54" t="str">
        <f>IF(K379="","",K379)</f>
        <v/>
      </c>
      <c r="AA482" s="54" t="str">
        <f t="shared" si="76"/>
        <v/>
      </c>
      <c r="AB482" s="54" t="str">
        <f t="shared" si="77"/>
        <v/>
      </c>
      <c r="AC482" s="54" t="str">
        <f t="shared" ref="AC482:AC520" si="82">IF(Z482="","",250)</f>
        <v/>
      </c>
      <c r="AD482" s="54" t="str">
        <f t="shared" si="78"/>
        <v/>
      </c>
      <c r="AE482" s="54" t="str">
        <f>IF(L379="","",L379)</f>
        <v/>
      </c>
      <c r="AF482" s="40" t="str">
        <f>IF(Z482&lt;&gt;"",IF(AG189="",""")],","), ac("),"")</f>
        <v/>
      </c>
    </row>
    <row r="483" spans="1:32" ht="24.75" hidden="1" x14ac:dyDescent="0.4">
      <c r="A483" s="9" t="str">
        <f t="shared" si="66"/>
        <v>/* 3 */   [ac("", "cp0","")],</v>
      </c>
      <c r="B483" s="9">
        <f t="shared" ref="B483:B546" si="83">+B482+1</f>
        <v>3</v>
      </c>
      <c r="C483" s="9" t="str">
        <f>IF(D483="","",IF(F483="",A483,_xlfn.CONCAT("/* ",B483,"*/      ",E483:AF483)))</f>
        <v/>
      </c>
      <c r="D483" s="39" t="str">
        <f>IF(D380="","","hay letras")</f>
        <v/>
      </c>
      <c r="E483" s="60" t="s">
        <v>52</v>
      </c>
      <c r="F483" s="61" t="str">
        <f>IF(E380="","",E380)</f>
        <v/>
      </c>
      <c r="G483" s="42" t="s">
        <v>53</v>
      </c>
      <c r="H483" s="61" t="str">
        <f t="shared" si="79"/>
        <v/>
      </c>
      <c r="I483" s="42" t="s">
        <v>54</v>
      </c>
      <c r="J483" s="41" t="str">
        <f>IF(F380="","",F380)</f>
        <v/>
      </c>
      <c r="K483" s="40" t="str">
        <f t="shared" si="80"/>
        <v/>
      </c>
      <c r="L483" s="43" t="str">
        <f>IF(G380="","",G380)</f>
        <v/>
      </c>
      <c r="M483" s="44" t="str">
        <f t="shared" si="67"/>
        <v/>
      </c>
      <c r="N483" s="45" t="str">
        <f t="shared" si="68"/>
        <v/>
      </c>
      <c r="O483" s="43" t="str">
        <f t="shared" si="81"/>
        <v/>
      </c>
      <c r="P483" s="45" t="str">
        <f t="shared" si="69"/>
        <v/>
      </c>
      <c r="Q483" s="47" t="str">
        <f>IF(H380="","",H380)</f>
        <v/>
      </c>
      <c r="R483" s="40" t="str">
        <f t="shared" si="70"/>
        <v/>
      </c>
      <c r="S483" s="61" t="str">
        <f>IF(I380="","",I380)</f>
        <v/>
      </c>
      <c r="T483" s="42" t="str">
        <f t="shared" si="71"/>
        <v/>
      </c>
      <c r="U483" s="42" t="str">
        <f t="shared" si="72"/>
        <v/>
      </c>
      <c r="V483" s="61" t="str">
        <f t="shared" si="73"/>
        <v/>
      </c>
      <c r="W483" s="42" t="str">
        <f t="shared" si="74"/>
        <v/>
      </c>
      <c r="X483" s="41" t="str">
        <f>IF(J380="","",J380)</f>
        <v/>
      </c>
      <c r="Y483" s="40" t="str">
        <f t="shared" si="75"/>
        <v/>
      </c>
      <c r="Z483" s="47" t="str">
        <f>IF(K380="","",K380)</f>
        <v/>
      </c>
      <c r="AA483" s="47" t="str">
        <f t="shared" si="76"/>
        <v/>
      </c>
      <c r="AB483" s="47" t="str">
        <f t="shared" si="77"/>
        <v/>
      </c>
      <c r="AC483" s="47" t="str">
        <f t="shared" si="82"/>
        <v/>
      </c>
      <c r="AD483" s="47" t="str">
        <f t="shared" si="78"/>
        <v/>
      </c>
      <c r="AE483" s="47" t="str">
        <f>IF(L380="","",L380)</f>
        <v/>
      </c>
      <c r="AF483" s="40" t="str">
        <f>IF(Z483&lt;&gt;"",IF(AG190="",""")],","), ac("),"")</f>
        <v/>
      </c>
    </row>
    <row r="484" spans="1:32" ht="24.75" hidden="1" x14ac:dyDescent="0.4">
      <c r="A484" s="9" t="str">
        <f t="shared" si="66"/>
        <v>/* 4 */   [ac("", "cp0","")],</v>
      </c>
      <c r="B484" s="9">
        <f t="shared" si="83"/>
        <v>4</v>
      </c>
      <c r="C484" s="9" t="str">
        <f>IF(D484="","",IF(F484="",A484,_xlfn.CONCAT("/* ",B484,"*/      ",E484:AF484)))</f>
        <v/>
      </c>
      <c r="D484" s="39" t="str">
        <f>IF(D381="","","hay letras")</f>
        <v/>
      </c>
      <c r="E484" s="60" t="s">
        <v>52</v>
      </c>
      <c r="F484" s="63" t="str">
        <f>IF(E381="","",E381)</f>
        <v/>
      </c>
      <c r="G484" s="64" t="s">
        <v>53</v>
      </c>
      <c r="H484" s="63" t="str">
        <f t="shared" si="79"/>
        <v/>
      </c>
      <c r="I484" s="64" t="s">
        <v>54</v>
      </c>
      <c r="J484" s="48" t="str">
        <f>IF(F381="","",F381)</f>
        <v/>
      </c>
      <c r="K484" s="40" t="str">
        <f t="shared" si="80"/>
        <v/>
      </c>
      <c r="L484" s="50" t="str">
        <f>IF(G381="","",G381)</f>
        <v/>
      </c>
      <c r="M484" s="51" t="str">
        <f t="shared" si="67"/>
        <v/>
      </c>
      <c r="N484" s="52" t="str">
        <f t="shared" si="68"/>
        <v/>
      </c>
      <c r="O484" s="50" t="str">
        <f t="shared" si="81"/>
        <v/>
      </c>
      <c r="P484" s="52" t="str">
        <f t="shared" si="69"/>
        <v/>
      </c>
      <c r="Q484" s="54" t="str">
        <f>IF(H381="","",H381)</f>
        <v/>
      </c>
      <c r="R484" s="40" t="str">
        <f t="shared" si="70"/>
        <v/>
      </c>
      <c r="S484" s="63" t="str">
        <f>IF(I381="","",I381)</f>
        <v/>
      </c>
      <c r="T484" s="64" t="str">
        <f t="shared" si="71"/>
        <v/>
      </c>
      <c r="U484" s="64" t="str">
        <f t="shared" si="72"/>
        <v/>
      </c>
      <c r="V484" s="63" t="str">
        <f t="shared" si="73"/>
        <v/>
      </c>
      <c r="W484" s="64" t="str">
        <f t="shared" si="74"/>
        <v/>
      </c>
      <c r="X484" s="48" t="str">
        <f>IF(J381="","",J381)</f>
        <v/>
      </c>
      <c r="Y484" s="40" t="str">
        <f t="shared" si="75"/>
        <v/>
      </c>
      <c r="Z484" s="54" t="str">
        <f>IF(K381="","",K381)</f>
        <v/>
      </c>
      <c r="AA484" s="54" t="str">
        <f t="shared" si="76"/>
        <v/>
      </c>
      <c r="AB484" s="54" t="str">
        <f t="shared" si="77"/>
        <v/>
      </c>
      <c r="AC484" s="54" t="str">
        <f t="shared" si="82"/>
        <v/>
      </c>
      <c r="AD484" s="54" t="str">
        <f t="shared" si="78"/>
        <v/>
      </c>
      <c r="AE484" s="54" t="str">
        <f>IF(L381="","",L381)</f>
        <v/>
      </c>
      <c r="AF484" s="40" t="str">
        <f>IF(Z484&lt;&gt;"",IF(AG191="",""")],","), ac("),"")</f>
        <v/>
      </c>
    </row>
    <row r="485" spans="1:32" ht="24.75" hidden="1" x14ac:dyDescent="0.4">
      <c r="A485" s="9" t="str">
        <f t="shared" si="66"/>
        <v>/* 5 */   [ac("", "cp0","")],</v>
      </c>
      <c r="B485" s="9">
        <f>+B484+1</f>
        <v>5</v>
      </c>
      <c r="C485" s="9" t="str">
        <f>IF(D485="","",IF(F485="",A485,_xlfn.CONCAT("/* ",B485,"*/      ",E485:AF485)))</f>
        <v/>
      </c>
      <c r="D485" s="39" t="str">
        <f>IF(D382="","","hay letras")</f>
        <v/>
      </c>
      <c r="E485" s="60" t="s">
        <v>52</v>
      </c>
      <c r="F485" s="61" t="str">
        <f>IF(E382="","",E382)</f>
        <v/>
      </c>
      <c r="G485" s="42" t="s">
        <v>53</v>
      </c>
      <c r="H485" s="61" t="str">
        <f t="shared" si="79"/>
        <v/>
      </c>
      <c r="I485" s="42" t="s">
        <v>54</v>
      </c>
      <c r="J485" s="41" t="str">
        <f>IF(F382="","",F382)</f>
        <v/>
      </c>
      <c r="K485" s="40" t="str">
        <f t="shared" si="80"/>
        <v/>
      </c>
      <c r="L485" s="43" t="str">
        <f>IF(G382="","",G382)</f>
        <v/>
      </c>
      <c r="M485" s="44" t="str">
        <f t="shared" si="67"/>
        <v/>
      </c>
      <c r="N485" s="45" t="str">
        <f t="shared" si="68"/>
        <v/>
      </c>
      <c r="O485" s="43" t="str">
        <f t="shared" si="81"/>
        <v/>
      </c>
      <c r="P485" s="45" t="str">
        <f t="shared" si="69"/>
        <v/>
      </c>
      <c r="Q485" s="47" t="str">
        <f>IF(H382="","",H382)</f>
        <v/>
      </c>
      <c r="R485" s="40" t="str">
        <f t="shared" si="70"/>
        <v/>
      </c>
      <c r="S485" s="61" t="str">
        <f>IF(I382="","",I382)</f>
        <v/>
      </c>
      <c r="T485" s="42" t="str">
        <f t="shared" si="71"/>
        <v/>
      </c>
      <c r="U485" s="42" t="str">
        <f t="shared" si="72"/>
        <v/>
      </c>
      <c r="V485" s="61" t="str">
        <f t="shared" si="73"/>
        <v/>
      </c>
      <c r="W485" s="42" t="str">
        <f t="shared" si="74"/>
        <v/>
      </c>
      <c r="X485" s="41" t="str">
        <f>IF(J382="","",J382)</f>
        <v/>
      </c>
      <c r="Y485" s="40" t="str">
        <f t="shared" si="75"/>
        <v/>
      </c>
      <c r="Z485" s="47" t="str">
        <f>IF(K382="","",K382)</f>
        <v/>
      </c>
      <c r="AA485" s="47" t="str">
        <f t="shared" si="76"/>
        <v/>
      </c>
      <c r="AB485" s="47" t="str">
        <f t="shared" si="77"/>
        <v/>
      </c>
      <c r="AC485" s="47" t="str">
        <f t="shared" si="82"/>
        <v/>
      </c>
      <c r="AD485" s="47" t="str">
        <f t="shared" si="78"/>
        <v/>
      </c>
      <c r="AE485" s="47" t="str">
        <f>IF(L382="","",L382)</f>
        <v/>
      </c>
      <c r="AF485" s="40" t="str">
        <f>IF(Z485&lt;&gt;"",IF(AG192="",""")],","), ac("),"")</f>
        <v/>
      </c>
    </row>
    <row r="486" spans="1:32" ht="24.75" hidden="1" x14ac:dyDescent="0.4">
      <c r="A486" s="9" t="str">
        <f t="shared" si="66"/>
        <v>/* 6 */   [ac("", "cp0","")],</v>
      </c>
      <c r="B486" s="9">
        <f t="shared" si="83"/>
        <v>6</v>
      </c>
      <c r="C486" s="9" t="str">
        <f>IF(D486="","",IF(F486="",A486,_xlfn.CONCAT("/* ",B486,"*/      ",E486:AF486)))</f>
        <v/>
      </c>
      <c r="D486" s="39" t="str">
        <f>IF(D383="","","hay letras")</f>
        <v/>
      </c>
      <c r="E486" s="60" t="s">
        <v>52</v>
      </c>
      <c r="F486" s="63" t="str">
        <f>IF(E383="","",E383)</f>
        <v/>
      </c>
      <c r="G486" s="64" t="s">
        <v>53</v>
      </c>
      <c r="H486" s="63" t="str">
        <f t="shared" si="79"/>
        <v/>
      </c>
      <c r="I486" s="64" t="s">
        <v>54</v>
      </c>
      <c r="J486" s="48" t="str">
        <f>IF(F383="","",F383)</f>
        <v/>
      </c>
      <c r="K486" s="40" t="str">
        <f t="shared" si="80"/>
        <v/>
      </c>
      <c r="L486" s="50" t="str">
        <f>IF(G383="","",G383)</f>
        <v/>
      </c>
      <c r="M486" s="51" t="str">
        <f t="shared" si="67"/>
        <v/>
      </c>
      <c r="N486" s="52" t="str">
        <f t="shared" si="68"/>
        <v/>
      </c>
      <c r="O486" s="50" t="str">
        <f t="shared" si="81"/>
        <v/>
      </c>
      <c r="P486" s="52" t="str">
        <f t="shared" si="69"/>
        <v/>
      </c>
      <c r="Q486" s="54" t="str">
        <f>IF(H383="","",H383)</f>
        <v/>
      </c>
      <c r="R486" s="40" t="str">
        <f t="shared" si="70"/>
        <v/>
      </c>
      <c r="S486" s="63" t="str">
        <f>IF(I383="","",I383)</f>
        <v/>
      </c>
      <c r="T486" s="64" t="str">
        <f t="shared" si="71"/>
        <v/>
      </c>
      <c r="U486" s="64" t="str">
        <f t="shared" si="72"/>
        <v/>
      </c>
      <c r="V486" s="63" t="str">
        <f t="shared" si="73"/>
        <v/>
      </c>
      <c r="W486" s="64" t="str">
        <f t="shared" si="74"/>
        <v/>
      </c>
      <c r="X486" s="48" t="str">
        <f>IF(J383="","",J383)</f>
        <v/>
      </c>
      <c r="Y486" s="40" t="str">
        <f t="shared" si="75"/>
        <v/>
      </c>
      <c r="Z486" s="54" t="str">
        <f>IF(K383="","",K383)</f>
        <v/>
      </c>
      <c r="AA486" s="54" t="str">
        <f t="shared" si="76"/>
        <v/>
      </c>
      <c r="AB486" s="54" t="str">
        <f t="shared" si="77"/>
        <v/>
      </c>
      <c r="AC486" s="54" t="str">
        <f t="shared" si="82"/>
        <v/>
      </c>
      <c r="AD486" s="54" t="str">
        <f t="shared" si="78"/>
        <v/>
      </c>
      <c r="AE486" s="54" t="str">
        <f>IF(L383="","",L383)</f>
        <v/>
      </c>
      <c r="AF486" s="40" t="str">
        <f>IF(Z486&lt;&gt;"",IF(AG193="",""")],","), ac("),"")</f>
        <v/>
      </c>
    </row>
    <row r="487" spans="1:32" ht="24.75" hidden="1" x14ac:dyDescent="0.4">
      <c r="A487" s="9" t="str">
        <f t="shared" si="66"/>
        <v>/* 7 */   [ac("", "cp0","")],</v>
      </c>
      <c r="B487" s="9">
        <f t="shared" si="83"/>
        <v>7</v>
      </c>
      <c r="C487" s="9" t="str">
        <f>IF(D487="","",IF(F487="",A487,_xlfn.CONCAT("/* ",B487,"*/      ",E487:AF487)))</f>
        <v/>
      </c>
      <c r="D487" s="39" t="str">
        <f>IF(D384="","","hay letras")</f>
        <v/>
      </c>
      <c r="E487" s="60" t="s">
        <v>52</v>
      </c>
      <c r="F487" s="61" t="str">
        <f>IF(E384="","",E384)</f>
        <v/>
      </c>
      <c r="G487" s="42" t="s">
        <v>53</v>
      </c>
      <c r="H487" s="61" t="str">
        <f t="shared" si="79"/>
        <v/>
      </c>
      <c r="I487" s="42" t="s">
        <v>54</v>
      </c>
      <c r="J487" s="41" t="str">
        <f>IF(F384="","",F384)</f>
        <v/>
      </c>
      <c r="K487" s="40" t="str">
        <f t="shared" si="80"/>
        <v/>
      </c>
      <c r="L487" s="43" t="str">
        <f>IF(G384="","",G384)</f>
        <v/>
      </c>
      <c r="M487" s="44" t="str">
        <f t="shared" si="67"/>
        <v/>
      </c>
      <c r="N487" s="45" t="str">
        <f t="shared" si="68"/>
        <v/>
      </c>
      <c r="O487" s="43" t="str">
        <f t="shared" si="81"/>
        <v/>
      </c>
      <c r="P487" s="45" t="str">
        <f t="shared" si="69"/>
        <v/>
      </c>
      <c r="Q487" s="47" t="str">
        <f>IF(H384="","",H384)</f>
        <v/>
      </c>
      <c r="R487" s="40" t="str">
        <f t="shared" si="70"/>
        <v/>
      </c>
      <c r="S487" s="61" t="str">
        <f>IF(I384="","",I384)</f>
        <v/>
      </c>
      <c r="T487" s="42" t="str">
        <f t="shared" si="71"/>
        <v/>
      </c>
      <c r="U487" s="42" t="str">
        <f t="shared" si="72"/>
        <v/>
      </c>
      <c r="V487" s="61" t="str">
        <f t="shared" si="73"/>
        <v/>
      </c>
      <c r="W487" s="42" t="str">
        <f t="shared" si="74"/>
        <v/>
      </c>
      <c r="X487" s="41" t="str">
        <f>IF(J384="","",J384)</f>
        <v/>
      </c>
      <c r="Y487" s="40" t="str">
        <f t="shared" si="75"/>
        <v/>
      </c>
      <c r="Z487" s="47" t="str">
        <f>IF(K384="","",K384)</f>
        <v/>
      </c>
      <c r="AA487" s="47" t="str">
        <f t="shared" si="76"/>
        <v/>
      </c>
      <c r="AB487" s="47" t="str">
        <f t="shared" si="77"/>
        <v/>
      </c>
      <c r="AC487" s="47" t="str">
        <f t="shared" si="82"/>
        <v/>
      </c>
      <c r="AD487" s="47" t="str">
        <f t="shared" si="78"/>
        <v/>
      </c>
      <c r="AE487" s="47" t="str">
        <f>IF(L384="","",L384)</f>
        <v/>
      </c>
      <c r="AF487" s="40" t="str">
        <f>IF(Z487&lt;&gt;"",IF(AG194="",""")],","), ac("),"")</f>
        <v/>
      </c>
    </row>
    <row r="488" spans="1:32" ht="24.75" hidden="1" x14ac:dyDescent="0.4">
      <c r="A488" s="9" t="str">
        <f t="shared" si="66"/>
        <v>/* 8 */   [ac("", "cp0","")],</v>
      </c>
      <c r="B488" s="9">
        <f t="shared" si="83"/>
        <v>8</v>
      </c>
      <c r="C488" s="9" t="str">
        <f>IF(D488="","",IF(F488="",A488,_xlfn.CONCAT("/* ",B488,"*/      ",E488:AF488)))</f>
        <v/>
      </c>
      <c r="D488" s="39" t="str">
        <f>IF(D385="","","hay letras")</f>
        <v/>
      </c>
      <c r="E488" s="60" t="s">
        <v>52</v>
      </c>
      <c r="F488" s="63" t="str">
        <f>IF(E385="","",E385)</f>
        <v/>
      </c>
      <c r="G488" s="64" t="s">
        <v>53</v>
      </c>
      <c r="H488" s="63" t="str">
        <f t="shared" si="79"/>
        <v/>
      </c>
      <c r="I488" s="64" t="s">
        <v>54</v>
      </c>
      <c r="J488" s="48" t="str">
        <f>IF(F385="","",F385)</f>
        <v/>
      </c>
      <c r="K488" s="40" t="str">
        <f t="shared" si="80"/>
        <v/>
      </c>
      <c r="L488" s="50" t="str">
        <f>IF(G385="","",G385)</f>
        <v/>
      </c>
      <c r="M488" s="51" t="str">
        <f t="shared" si="67"/>
        <v/>
      </c>
      <c r="N488" s="52" t="str">
        <f t="shared" si="68"/>
        <v/>
      </c>
      <c r="O488" s="50" t="str">
        <f t="shared" si="81"/>
        <v/>
      </c>
      <c r="P488" s="52" t="str">
        <f t="shared" si="69"/>
        <v/>
      </c>
      <c r="Q488" s="54" t="str">
        <f>IF(H385="","",H385)</f>
        <v/>
      </c>
      <c r="R488" s="40" t="str">
        <f t="shared" si="70"/>
        <v/>
      </c>
      <c r="S488" s="63" t="str">
        <f>IF(I385="","",I385)</f>
        <v/>
      </c>
      <c r="T488" s="64" t="str">
        <f t="shared" si="71"/>
        <v/>
      </c>
      <c r="U488" s="64" t="str">
        <f t="shared" si="72"/>
        <v/>
      </c>
      <c r="V488" s="63" t="str">
        <f t="shared" si="73"/>
        <v/>
      </c>
      <c r="W488" s="64" t="str">
        <f t="shared" si="74"/>
        <v/>
      </c>
      <c r="X488" s="48" t="str">
        <f>IF(J385="","",J385)</f>
        <v/>
      </c>
      <c r="Y488" s="40" t="str">
        <f t="shared" si="75"/>
        <v/>
      </c>
      <c r="Z488" s="54" t="str">
        <f>IF(K385="","",K385)</f>
        <v/>
      </c>
      <c r="AA488" s="54" t="str">
        <f t="shared" si="76"/>
        <v/>
      </c>
      <c r="AB488" s="54" t="str">
        <f t="shared" si="77"/>
        <v/>
      </c>
      <c r="AC488" s="54" t="str">
        <f t="shared" si="82"/>
        <v/>
      </c>
      <c r="AD488" s="54" t="str">
        <f t="shared" si="78"/>
        <v/>
      </c>
      <c r="AE488" s="54" t="str">
        <f>IF(L385="","",L385)</f>
        <v/>
      </c>
      <c r="AF488" s="40" t="str">
        <f>IF(Z488&lt;&gt;"",IF(AG195="",""")],","), ac("),"")</f>
        <v/>
      </c>
    </row>
    <row r="489" spans="1:32" ht="24.75" hidden="1" x14ac:dyDescent="0.4">
      <c r="A489" s="9" t="str">
        <f t="shared" si="66"/>
        <v>/* 9 */   [ac("", "cp0","")],</v>
      </c>
      <c r="B489" s="9">
        <f>+B488+1</f>
        <v>9</v>
      </c>
      <c r="C489" s="9" t="str">
        <f>IF(D489="","",IF(F489="",A489,_xlfn.CONCAT("/* ",B489,"*/      ",E489:AF489)))</f>
        <v/>
      </c>
      <c r="D489" s="39" t="str">
        <f>IF(D386="","","hay letras")</f>
        <v/>
      </c>
      <c r="E489" s="60" t="s">
        <v>52</v>
      </c>
      <c r="F489" s="61" t="str">
        <f>IF(E386="","",E386)</f>
        <v/>
      </c>
      <c r="G489" s="42" t="s">
        <v>53</v>
      </c>
      <c r="H489" s="61" t="str">
        <f t="shared" si="79"/>
        <v/>
      </c>
      <c r="I489" s="42" t="s">
        <v>54</v>
      </c>
      <c r="J489" s="41" t="str">
        <f>IF(F386="","",F386)</f>
        <v/>
      </c>
      <c r="K489" s="40" t="str">
        <f t="shared" si="80"/>
        <v/>
      </c>
      <c r="L489" s="43" t="str">
        <f>IF(G386="","",G386)</f>
        <v/>
      </c>
      <c r="M489" s="44" t="str">
        <f t="shared" si="67"/>
        <v/>
      </c>
      <c r="N489" s="45" t="str">
        <f t="shared" si="68"/>
        <v/>
      </c>
      <c r="O489" s="43" t="str">
        <f t="shared" si="81"/>
        <v/>
      </c>
      <c r="P489" s="45" t="str">
        <f t="shared" si="69"/>
        <v/>
      </c>
      <c r="Q489" s="47" t="str">
        <f>IF(H386="","",H386)</f>
        <v/>
      </c>
      <c r="R489" s="40" t="str">
        <f t="shared" si="70"/>
        <v/>
      </c>
      <c r="S489" s="61" t="str">
        <f>IF(I386="","",I386)</f>
        <v/>
      </c>
      <c r="T489" s="42" t="str">
        <f t="shared" si="71"/>
        <v/>
      </c>
      <c r="U489" s="42" t="str">
        <f t="shared" si="72"/>
        <v/>
      </c>
      <c r="V489" s="61" t="str">
        <f t="shared" si="73"/>
        <v/>
      </c>
      <c r="W489" s="42" t="str">
        <f t="shared" si="74"/>
        <v/>
      </c>
      <c r="X489" s="41" t="str">
        <f>IF(J386="","",J386)</f>
        <v/>
      </c>
      <c r="Y489" s="40" t="str">
        <f t="shared" si="75"/>
        <v/>
      </c>
      <c r="Z489" s="47" t="str">
        <f>IF(K386="","",K386)</f>
        <v/>
      </c>
      <c r="AA489" s="47" t="str">
        <f t="shared" si="76"/>
        <v/>
      </c>
      <c r="AB489" s="47" t="str">
        <f t="shared" si="77"/>
        <v/>
      </c>
      <c r="AC489" s="47" t="str">
        <f t="shared" si="82"/>
        <v/>
      </c>
      <c r="AD489" s="47" t="str">
        <f t="shared" si="78"/>
        <v/>
      </c>
      <c r="AE489" s="47" t="str">
        <f>IF(L386="","",L386)</f>
        <v/>
      </c>
      <c r="AF489" s="40" t="str">
        <f>IF(Z489&lt;&gt;"",IF(AG196="",""")],","), ac("),"")</f>
        <v/>
      </c>
    </row>
    <row r="490" spans="1:32" ht="24.75" hidden="1" x14ac:dyDescent="0.4">
      <c r="A490" s="9" t="str">
        <f t="shared" si="66"/>
        <v>/* 10 */   [ac("", "cp0","")],</v>
      </c>
      <c r="B490" s="9">
        <f t="shared" si="83"/>
        <v>10</v>
      </c>
      <c r="C490" s="9" t="str">
        <f>IF(D490="","",IF(F490="",A490,_xlfn.CONCAT("/* ",B490,"*/      ",E490:AF490)))</f>
        <v/>
      </c>
      <c r="D490" s="39" t="str">
        <f>IF(D387="","","hay letras")</f>
        <v/>
      </c>
      <c r="E490" s="60" t="s">
        <v>52</v>
      </c>
      <c r="F490" s="63" t="str">
        <f>IF(E387="","",E387)</f>
        <v/>
      </c>
      <c r="G490" s="64" t="s">
        <v>53</v>
      </c>
      <c r="H490" s="63" t="str">
        <f t="shared" si="79"/>
        <v/>
      </c>
      <c r="I490" s="64" t="s">
        <v>54</v>
      </c>
      <c r="J490" s="48" t="str">
        <f>IF(F387="","",F387)</f>
        <v/>
      </c>
      <c r="K490" s="40" t="str">
        <f t="shared" si="80"/>
        <v/>
      </c>
      <c r="L490" s="50" t="str">
        <f>IF(G387="","",G387)</f>
        <v/>
      </c>
      <c r="M490" s="51" t="str">
        <f t="shared" si="67"/>
        <v/>
      </c>
      <c r="N490" s="52" t="str">
        <f t="shared" si="68"/>
        <v/>
      </c>
      <c r="O490" s="50" t="str">
        <f t="shared" si="81"/>
        <v/>
      </c>
      <c r="P490" s="52" t="str">
        <f t="shared" si="69"/>
        <v/>
      </c>
      <c r="Q490" s="54" t="str">
        <f>IF(H387="","",H387)</f>
        <v/>
      </c>
      <c r="R490" s="40" t="str">
        <f t="shared" si="70"/>
        <v/>
      </c>
      <c r="S490" s="63" t="str">
        <f>IF(I387="","",I387)</f>
        <v/>
      </c>
      <c r="T490" s="64" t="str">
        <f t="shared" si="71"/>
        <v/>
      </c>
      <c r="U490" s="64" t="str">
        <f t="shared" si="72"/>
        <v/>
      </c>
      <c r="V490" s="63" t="str">
        <f t="shared" si="73"/>
        <v/>
      </c>
      <c r="W490" s="64" t="str">
        <f t="shared" si="74"/>
        <v/>
      </c>
      <c r="X490" s="48" t="str">
        <f>IF(J387="","",J387)</f>
        <v/>
      </c>
      <c r="Y490" s="40" t="str">
        <f t="shared" si="75"/>
        <v/>
      </c>
      <c r="Z490" s="54" t="str">
        <f>IF(K387="","",K387)</f>
        <v/>
      </c>
      <c r="AA490" s="54" t="str">
        <f t="shared" si="76"/>
        <v/>
      </c>
      <c r="AB490" s="54" t="str">
        <f t="shared" si="77"/>
        <v/>
      </c>
      <c r="AC490" s="54" t="str">
        <f t="shared" si="82"/>
        <v/>
      </c>
      <c r="AD490" s="54" t="str">
        <f t="shared" si="78"/>
        <v/>
      </c>
      <c r="AE490" s="54" t="str">
        <f>IF(L387="","",L387)</f>
        <v/>
      </c>
      <c r="AF490" s="40" t="str">
        <f>IF(Z490&lt;&gt;"",IF(AG197="",""")],","), ac("),"")</f>
        <v/>
      </c>
    </row>
    <row r="491" spans="1:32" ht="24.75" hidden="1" x14ac:dyDescent="0.4">
      <c r="A491" s="9" t="str">
        <f t="shared" si="66"/>
        <v>/* 11 */   [ac("", "cp0","")],</v>
      </c>
      <c r="B491" s="9">
        <f t="shared" si="83"/>
        <v>11</v>
      </c>
      <c r="C491" s="9" t="str">
        <f>IF(D491="","",IF(F491="",A491,_xlfn.CONCAT("/* ",B491,"*/      ",E491:AF491)))</f>
        <v/>
      </c>
      <c r="D491" s="39" t="str">
        <f>IF(D388="","","hay letras")</f>
        <v/>
      </c>
      <c r="E491" s="60" t="s">
        <v>52</v>
      </c>
      <c r="F491" s="61" t="str">
        <f>IF(E388="","",E388)</f>
        <v/>
      </c>
      <c r="G491" s="42" t="s">
        <v>53</v>
      </c>
      <c r="H491" s="61" t="str">
        <f t="shared" si="79"/>
        <v/>
      </c>
      <c r="I491" s="42" t="s">
        <v>54</v>
      </c>
      <c r="J491" s="41" t="str">
        <f>IF(F388="","",F388)</f>
        <v/>
      </c>
      <c r="K491" s="40" t="str">
        <f t="shared" si="80"/>
        <v/>
      </c>
      <c r="L491" s="43" t="str">
        <f>IF(G388="","",G388)</f>
        <v/>
      </c>
      <c r="M491" s="44" t="str">
        <f t="shared" si="67"/>
        <v/>
      </c>
      <c r="N491" s="45" t="str">
        <f t="shared" si="68"/>
        <v/>
      </c>
      <c r="O491" s="43" t="str">
        <f t="shared" si="81"/>
        <v/>
      </c>
      <c r="P491" s="45" t="str">
        <f t="shared" si="69"/>
        <v/>
      </c>
      <c r="Q491" s="47" t="str">
        <f>IF(H388="","",H388)</f>
        <v/>
      </c>
      <c r="R491" s="40" t="str">
        <f t="shared" si="70"/>
        <v/>
      </c>
      <c r="S491" s="61" t="str">
        <f>IF(I388="","",I388)</f>
        <v/>
      </c>
      <c r="T491" s="42" t="str">
        <f t="shared" si="71"/>
        <v/>
      </c>
      <c r="U491" s="42" t="str">
        <f t="shared" si="72"/>
        <v/>
      </c>
      <c r="V491" s="61" t="str">
        <f t="shared" si="73"/>
        <v/>
      </c>
      <c r="W491" s="42" t="str">
        <f t="shared" si="74"/>
        <v/>
      </c>
      <c r="X491" s="41" t="str">
        <f>IF(J388="","",J388)</f>
        <v/>
      </c>
      <c r="Y491" s="40" t="str">
        <f t="shared" si="75"/>
        <v/>
      </c>
      <c r="Z491" s="47" t="str">
        <f>IF(K388="","",K388)</f>
        <v/>
      </c>
      <c r="AA491" s="47" t="str">
        <f t="shared" si="76"/>
        <v/>
      </c>
      <c r="AB491" s="47" t="str">
        <f t="shared" si="77"/>
        <v/>
      </c>
      <c r="AC491" s="47" t="str">
        <f t="shared" si="82"/>
        <v/>
      </c>
      <c r="AD491" s="47" t="str">
        <f t="shared" si="78"/>
        <v/>
      </c>
      <c r="AE491" s="47" t="str">
        <f>IF(L388="","",L388)</f>
        <v/>
      </c>
      <c r="AF491" s="40" t="str">
        <f>IF(Z491&lt;&gt;"",IF(AG198="",""")],","), ac("),"")</f>
        <v/>
      </c>
    </row>
    <row r="492" spans="1:32" ht="24.75" hidden="1" x14ac:dyDescent="0.4">
      <c r="A492" s="9" t="str">
        <f t="shared" si="66"/>
        <v>/* 12 */   [ac("", "cp0","")],</v>
      </c>
      <c r="B492" s="9">
        <f t="shared" si="83"/>
        <v>12</v>
      </c>
      <c r="C492" s="9" t="str">
        <f>IF(D492="","",IF(F492="",A492,_xlfn.CONCAT("/* ",B492,"*/      ",E492:AF492)))</f>
        <v/>
      </c>
      <c r="D492" s="39" t="str">
        <f>IF(D389="","","hay letras")</f>
        <v/>
      </c>
      <c r="E492" s="60" t="s">
        <v>52</v>
      </c>
      <c r="F492" s="63" t="str">
        <f>IF(E389="","",E389)</f>
        <v/>
      </c>
      <c r="G492" s="64" t="s">
        <v>53</v>
      </c>
      <c r="H492" s="63" t="str">
        <f t="shared" si="79"/>
        <v/>
      </c>
      <c r="I492" s="64" t="s">
        <v>54</v>
      </c>
      <c r="J492" s="48" t="str">
        <f>IF(F389="","",F389)</f>
        <v/>
      </c>
      <c r="K492" s="40" t="str">
        <f t="shared" si="80"/>
        <v/>
      </c>
      <c r="L492" s="50" t="str">
        <f>IF(G389="","",G389)</f>
        <v/>
      </c>
      <c r="M492" s="51" t="str">
        <f t="shared" si="67"/>
        <v/>
      </c>
      <c r="N492" s="52" t="str">
        <f t="shared" si="68"/>
        <v/>
      </c>
      <c r="O492" s="50" t="str">
        <f t="shared" si="81"/>
        <v/>
      </c>
      <c r="P492" s="52" t="str">
        <f t="shared" si="69"/>
        <v/>
      </c>
      <c r="Q492" s="54" t="str">
        <f>IF(H389="","",H389)</f>
        <v/>
      </c>
      <c r="R492" s="40" t="str">
        <f t="shared" si="70"/>
        <v/>
      </c>
      <c r="S492" s="63" t="str">
        <f>IF(I389="","",I389)</f>
        <v/>
      </c>
      <c r="T492" s="64" t="str">
        <f t="shared" si="71"/>
        <v/>
      </c>
      <c r="U492" s="64" t="str">
        <f t="shared" si="72"/>
        <v/>
      </c>
      <c r="V492" s="63" t="str">
        <f t="shared" si="73"/>
        <v/>
      </c>
      <c r="W492" s="64" t="str">
        <f t="shared" si="74"/>
        <v/>
      </c>
      <c r="X492" s="48" t="str">
        <f>IF(J389="","",J389)</f>
        <v/>
      </c>
      <c r="Y492" s="40" t="str">
        <f t="shared" si="75"/>
        <v/>
      </c>
      <c r="Z492" s="54" t="str">
        <f>IF(K389="","",K389)</f>
        <v/>
      </c>
      <c r="AA492" s="54" t="str">
        <f t="shared" si="76"/>
        <v/>
      </c>
      <c r="AB492" s="54" t="str">
        <f t="shared" si="77"/>
        <v/>
      </c>
      <c r="AC492" s="54" t="str">
        <f t="shared" si="82"/>
        <v/>
      </c>
      <c r="AD492" s="54" t="str">
        <f t="shared" si="78"/>
        <v/>
      </c>
      <c r="AE492" s="54" t="str">
        <f>IF(L389="","",L389)</f>
        <v/>
      </c>
      <c r="AF492" s="40" t="str">
        <f>IF(Z492&lt;&gt;"",IF(AG199="",""")],","), ac("),"")</f>
        <v/>
      </c>
    </row>
    <row r="493" spans="1:32" ht="24.75" hidden="1" x14ac:dyDescent="0.4">
      <c r="A493" s="9" t="str">
        <f t="shared" si="66"/>
        <v>/* 13 */   [ac("", "cp0","")],</v>
      </c>
      <c r="B493" s="9">
        <f>+B492+1</f>
        <v>13</v>
      </c>
      <c r="C493" s="9" t="str">
        <f>IF(D493="","",IF(F493="",A493,_xlfn.CONCAT("/* ",B493,"*/      ",E493:AF493)))</f>
        <v/>
      </c>
      <c r="D493" s="39" t="str">
        <f>IF(D390="","","hay letras")</f>
        <v/>
      </c>
      <c r="E493" s="60" t="s">
        <v>52</v>
      </c>
      <c r="F493" s="61" t="str">
        <f>IF(E390="","",E390)</f>
        <v/>
      </c>
      <c r="G493" s="42" t="s">
        <v>53</v>
      </c>
      <c r="H493" s="61" t="str">
        <f t="shared" si="79"/>
        <v/>
      </c>
      <c r="I493" s="42" t="s">
        <v>54</v>
      </c>
      <c r="J493" s="41" t="str">
        <f>IF(F390="","",F390)</f>
        <v/>
      </c>
      <c r="K493" s="40" t="str">
        <f t="shared" si="80"/>
        <v/>
      </c>
      <c r="L493" s="43" t="str">
        <f>IF(G390="","",G390)</f>
        <v/>
      </c>
      <c r="M493" s="44" t="str">
        <f t="shared" si="67"/>
        <v/>
      </c>
      <c r="N493" s="45" t="str">
        <f t="shared" si="68"/>
        <v/>
      </c>
      <c r="O493" s="43" t="str">
        <f t="shared" si="81"/>
        <v/>
      </c>
      <c r="P493" s="45" t="str">
        <f t="shared" si="69"/>
        <v/>
      </c>
      <c r="Q493" s="47" t="str">
        <f>IF(H390="","",H390)</f>
        <v/>
      </c>
      <c r="R493" s="40" t="str">
        <f t="shared" si="70"/>
        <v/>
      </c>
      <c r="S493" s="61" t="str">
        <f>IF(I390="","",I390)</f>
        <v/>
      </c>
      <c r="T493" s="42" t="str">
        <f t="shared" si="71"/>
        <v/>
      </c>
      <c r="U493" s="42" t="str">
        <f t="shared" si="72"/>
        <v/>
      </c>
      <c r="V493" s="61" t="str">
        <f t="shared" si="73"/>
        <v/>
      </c>
      <c r="W493" s="42" t="str">
        <f t="shared" si="74"/>
        <v/>
      </c>
      <c r="X493" s="41" t="str">
        <f>IF(J390="","",J390)</f>
        <v/>
      </c>
      <c r="Y493" s="40" t="str">
        <f t="shared" si="75"/>
        <v/>
      </c>
      <c r="Z493" s="47" t="str">
        <f>IF(K390="","",K390)</f>
        <v/>
      </c>
      <c r="AA493" s="47" t="str">
        <f t="shared" si="76"/>
        <v/>
      </c>
      <c r="AB493" s="47" t="str">
        <f t="shared" si="77"/>
        <v/>
      </c>
      <c r="AC493" s="47" t="str">
        <f t="shared" si="82"/>
        <v/>
      </c>
      <c r="AD493" s="47" t="str">
        <f t="shared" si="78"/>
        <v/>
      </c>
      <c r="AE493" s="47" t="str">
        <f>IF(L390="","",L390)</f>
        <v/>
      </c>
      <c r="AF493" s="40" t="str">
        <f>IF(Z493&lt;&gt;"",IF(AG200="",""")],","), ac("),"")</f>
        <v/>
      </c>
    </row>
    <row r="494" spans="1:32" ht="24.75" hidden="1" x14ac:dyDescent="0.4">
      <c r="A494" s="9" t="str">
        <f t="shared" si="66"/>
        <v>/* 14 */   [ac("", "cp0","")],</v>
      </c>
      <c r="B494" s="9">
        <f t="shared" si="83"/>
        <v>14</v>
      </c>
      <c r="C494" s="9" t="str">
        <f>IF(D494="","",IF(F494="",A494,_xlfn.CONCAT("/* ",B494,"*/      ",E494:AF494)))</f>
        <v/>
      </c>
      <c r="D494" s="39" t="str">
        <f>IF(D391="","","hay letras")</f>
        <v/>
      </c>
      <c r="E494" s="60" t="s">
        <v>52</v>
      </c>
      <c r="F494" s="63" t="str">
        <f>IF(E391="","",E391)</f>
        <v/>
      </c>
      <c r="G494" s="64" t="s">
        <v>53</v>
      </c>
      <c r="H494" s="63" t="str">
        <f t="shared" si="79"/>
        <v/>
      </c>
      <c r="I494" s="64" t="s">
        <v>54</v>
      </c>
      <c r="J494" s="48" t="str">
        <f>IF(F391="","",F391)</f>
        <v/>
      </c>
      <c r="K494" s="40" t="str">
        <f t="shared" si="80"/>
        <v/>
      </c>
      <c r="L494" s="50" t="str">
        <f>IF(G391="","",G391)</f>
        <v/>
      </c>
      <c r="M494" s="51" t="str">
        <f t="shared" si="67"/>
        <v/>
      </c>
      <c r="N494" s="52" t="str">
        <f t="shared" si="68"/>
        <v/>
      </c>
      <c r="O494" s="50" t="str">
        <f t="shared" si="81"/>
        <v/>
      </c>
      <c r="P494" s="52" t="str">
        <f t="shared" si="69"/>
        <v/>
      </c>
      <c r="Q494" s="54" t="str">
        <f>IF(H391="","",H391)</f>
        <v/>
      </c>
      <c r="R494" s="40" t="str">
        <f t="shared" si="70"/>
        <v/>
      </c>
      <c r="S494" s="63" t="str">
        <f>IF(I391="","",I391)</f>
        <v/>
      </c>
      <c r="T494" s="64" t="str">
        <f t="shared" si="71"/>
        <v/>
      </c>
      <c r="U494" s="64" t="str">
        <f t="shared" si="72"/>
        <v/>
      </c>
      <c r="V494" s="63" t="str">
        <f t="shared" si="73"/>
        <v/>
      </c>
      <c r="W494" s="64" t="str">
        <f t="shared" si="74"/>
        <v/>
      </c>
      <c r="X494" s="48" t="str">
        <f>IF(J391="","",J391)</f>
        <v/>
      </c>
      <c r="Y494" s="40" t="str">
        <f t="shared" si="75"/>
        <v/>
      </c>
      <c r="Z494" s="54" t="str">
        <f>IF(K391="","",K391)</f>
        <v/>
      </c>
      <c r="AA494" s="54" t="str">
        <f t="shared" si="76"/>
        <v/>
      </c>
      <c r="AB494" s="54" t="str">
        <f t="shared" si="77"/>
        <v/>
      </c>
      <c r="AC494" s="54" t="str">
        <f t="shared" si="82"/>
        <v/>
      </c>
      <c r="AD494" s="54" t="str">
        <f t="shared" si="78"/>
        <v/>
      </c>
      <c r="AE494" s="54" t="str">
        <f>IF(L391="","",L391)</f>
        <v/>
      </c>
      <c r="AF494" s="40" t="str">
        <f>IF(Z494&lt;&gt;"",IF(AG201="",""")],","), ac("),"")</f>
        <v/>
      </c>
    </row>
    <row r="495" spans="1:32" ht="24.75" hidden="1" x14ac:dyDescent="0.4">
      <c r="A495" s="9" t="str">
        <f t="shared" si="66"/>
        <v>/* 15 */   [ac("", "cp0","")],</v>
      </c>
      <c r="B495" s="9">
        <f t="shared" si="83"/>
        <v>15</v>
      </c>
      <c r="C495" s="9" t="str">
        <f>IF(D495="","",IF(F495="",A495,_xlfn.CONCAT("/* ",B495,"*/      ",E495:AF495)))</f>
        <v/>
      </c>
      <c r="D495" s="39" t="str">
        <f>IF(D392="","","hay letras")</f>
        <v/>
      </c>
      <c r="E495" s="60" t="s">
        <v>52</v>
      </c>
      <c r="F495" s="61" t="str">
        <f>IF(E392="","",E392)</f>
        <v/>
      </c>
      <c r="G495" s="42" t="s">
        <v>53</v>
      </c>
      <c r="H495" s="61" t="str">
        <f t="shared" si="79"/>
        <v/>
      </c>
      <c r="I495" s="42" t="s">
        <v>54</v>
      </c>
      <c r="J495" s="41" t="str">
        <f>IF(F392="","",F392)</f>
        <v/>
      </c>
      <c r="K495" s="40" t="str">
        <f t="shared" si="80"/>
        <v/>
      </c>
      <c r="L495" s="43" t="str">
        <f>IF(G392="","",G392)</f>
        <v/>
      </c>
      <c r="M495" s="44" t="str">
        <f t="shared" si="67"/>
        <v/>
      </c>
      <c r="N495" s="45" t="str">
        <f t="shared" si="68"/>
        <v/>
      </c>
      <c r="O495" s="43" t="str">
        <f t="shared" si="81"/>
        <v/>
      </c>
      <c r="P495" s="45" t="str">
        <f t="shared" si="69"/>
        <v/>
      </c>
      <c r="Q495" s="47" t="str">
        <f>IF(H392="","",H392)</f>
        <v/>
      </c>
      <c r="R495" s="40" t="str">
        <f t="shared" si="70"/>
        <v/>
      </c>
      <c r="S495" s="61" t="str">
        <f>IF(I392="","",I392)</f>
        <v/>
      </c>
      <c r="T495" s="42" t="str">
        <f t="shared" si="71"/>
        <v/>
      </c>
      <c r="U495" s="42" t="str">
        <f t="shared" si="72"/>
        <v/>
      </c>
      <c r="V495" s="61" t="str">
        <f t="shared" si="73"/>
        <v/>
      </c>
      <c r="W495" s="42" t="str">
        <f t="shared" si="74"/>
        <v/>
      </c>
      <c r="X495" s="41" t="str">
        <f>IF(J392="","",J392)</f>
        <v/>
      </c>
      <c r="Y495" s="40" t="str">
        <f t="shared" si="75"/>
        <v/>
      </c>
      <c r="Z495" s="47" t="str">
        <f>IF(K392="","",K392)</f>
        <v/>
      </c>
      <c r="AA495" s="47" t="str">
        <f t="shared" si="76"/>
        <v/>
      </c>
      <c r="AB495" s="47" t="str">
        <f t="shared" si="77"/>
        <v/>
      </c>
      <c r="AC495" s="47" t="str">
        <f t="shared" si="82"/>
        <v/>
      </c>
      <c r="AD495" s="47" t="str">
        <f t="shared" si="78"/>
        <v/>
      </c>
      <c r="AE495" s="47" t="str">
        <f>IF(L392="","",L392)</f>
        <v/>
      </c>
      <c r="AF495" s="40" t="str">
        <f>IF(Z495&lt;&gt;"",IF(AG202="",""")],","), ac("),"")</f>
        <v/>
      </c>
    </row>
    <row r="496" spans="1:32" ht="24.75" hidden="1" x14ac:dyDescent="0.4">
      <c r="A496" s="9" t="str">
        <f t="shared" si="66"/>
        <v>/* 16 */   [ac("", "cp0","")],</v>
      </c>
      <c r="B496" s="9">
        <f t="shared" si="83"/>
        <v>16</v>
      </c>
      <c r="C496" s="9" t="str">
        <f>IF(D496="","",IF(F496="",A496,_xlfn.CONCAT("/* ",B496,"*/      ",E496:AF496)))</f>
        <v/>
      </c>
      <c r="D496" s="39" t="str">
        <f>IF(D393="","","hay letras")</f>
        <v/>
      </c>
      <c r="E496" s="60" t="s">
        <v>52</v>
      </c>
      <c r="F496" s="63" t="str">
        <f>IF(E393="","",E393)</f>
        <v/>
      </c>
      <c r="G496" s="64" t="s">
        <v>53</v>
      </c>
      <c r="H496" s="63" t="str">
        <f t="shared" si="79"/>
        <v/>
      </c>
      <c r="I496" s="64" t="s">
        <v>54</v>
      </c>
      <c r="J496" s="48" t="str">
        <f>IF(F393="","",F393)</f>
        <v/>
      </c>
      <c r="K496" s="40" t="str">
        <f t="shared" si="80"/>
        <v/>
      </c>
      <c r="L496" s="50" t="str">
        <f>IF(G393="","",G393)</f>
        <v/>
      </c>
      <c r="M496" s="51" t="str">
        <f t="shared" si="67"/>
        <v/>
      </c>
      <c r="N496" s="52" t="str">
        <f t="shared" si="68"/>
        <v/>
      </c>
      <c r="O496" s="50" t="str">
        <f t="shared" si="81"/>
        <v/>
      </c>
      <c r="P496" s="52" t="str">
        <f t="shared" si="69"/>
        <v/>
      </c>
      <c r="Q496" s="54" t="str">
        <f>IF(H393="","",H393)</f>
        <v/>
      </c>
      <c r="R496" s="40" t="str">
        <f t="shared" si="70"/>
        <v/>
      </c>
      <c r="S496" s="63" t="str">
        <f>IF(I393="","",I393)</f>
        <v/>
      </c>
      <c r="T496" s="64" t="str">
        <f t="shared" si="71"/>
        <v/>
      </c>
      <c r="U496" s="64" t="str">
        <f t="shared" si="72"/>
        <v/>
      </c>
      <c r="V496" s="63" t="str">
        <f t="shared" si="73"/>
        <v/>
      </c>
      <c r="W496" s="64" t="str">
        <f t="shared" si="74"/>
        <v/>
      </c>
      <c r="X496" s="48" t="str">
        <f>IF(J393="","",J393)</f>
        <v/>
      </c>
      <c r="Y496" s="40" t="str">
        <f t="shared" si="75"/>
        <v/>
      </c>
      <c r="Z496" s="54" t="str">
        <f>IF(K393="","",K393)</f>
        <v/>
      </c>
      <c r="AA496" s="54" t="str">
        <f t="shared" si="76"/>
        <v/>
      </c>
      <c r="AB496" s="54" t="str">
        <f t="shared" si="77"/>
        <v/>
      </c>
      <c r="AC496" s="54" t="str">
        <f t="shared" si="82"/>
        <v/>
      </c>
      <c r="AD496" s="54" t="str">
        <f t="shared" si="78"/>
        <v/>
      </c>
      <c r="AE496" s="54" t="str">
        <f>IF(L393="","",L393)</f>
        <v/>
      </c>
      <c r="AF496" s="40" t="str">
        <f>IF(Z496&lt;&gt;"",IF(AG203="",""")],","), ac("),"")</f>
        <v/>
      </c>
    </row>
    <row r="497" spans="1:32" ht="24.75" hidden="1" x14ac:dyDescent="0.4">
      <c r="A497" s="9" t="str">
        <f t="shared" si="66"/>
        <v>/* 17 */   [ac("", "cp0","")],</v>
      </c>
      <c r="B497" s="9">
        <f t="shared" si="83"/>
        <v>17</v>
      </c>
      <c r="C497" s="9" t="str">
        <f>IF(D497="","",IF(F497="",A497,_xlfn.CONCAT("/* ",B497,"*/      ",E497:AF497)))</f>
        <v/>
      </c>
      <c r="D497" s="39" t="str">
        <f>IF(D394="","","hay letras")</f>
        <v/>
      </c>
      <c r="E497" s="60" t="s">
        <v>52</v>
      </c>
      <c r="F497" s="61" t="str">
        <f>IF(E394="","",E394)</f>
        <v/>
      </c>
      <c r="G497" s="42" t="s">
        <v>53</v>
      </c>
      <c r="H497" s="61" t="str">
        <f t="shared" si="79"/>
        <v/>
      </c>
      <c r="I497" s="42" t="s">
        <v>54</v>
      </c>
      <c r="J497" s="41" t="str">
        <f>IF(F394="","",F394)</f>
        <v/>
      </c>
      <c r="K497" s="40" t="str">
        <f t="shared" si="80"/>
        <v/>
      </c>
      <c r="L497" s="43" t="str">
        <f>IF(G394="","",G394)</f>
        <v/>
      </c>
      <c r="M497" s="44" t="str">
        <f t="shared" si="67"/>
        <v/>
      </c>
      <c r="N497" s="45" t="str">
        <f t="shared" si="68"/>
        <v/>
      </c>
      <c r="O497" s="43" t="str">
        <f t="shared" si="81"/>
        <v/>
      </c>
      <c r="P497" s="45" t="str">
        <f t="shared" si="69"/>
        <v/>
      </c>
      <c r="Q497" s="47" t="str">
        <f>IF(H394="","",H394)</f>
        <v/>
      </c>
      <c r="R497" s="40" t="str">
        <f t="shared" si="70"/>
        <v/>
      </c>
      <c r="S497" s="61" t="str">
        <f>IF(I394="","",I394)</f>
        <v/>
      </c>
      <c r="T497" s="42" t="str">
        <f t="shared" si="71"/>
        <v/>
      </c>
      <c r="U497" s="42" t="str">
        <f t="shared" si="72"/>
        <v/>
      </c>
      <c r="V497" s="61" t="str">
        <f t="shared" si="73"/>
        <v/>
      </c>
      <c r="W497" s="42" t="str">
        <f t="shared" si="74"/>
        <v/>
      </c>
      <c r="X497" s="41" t="str">
        <f>IF(J394="","",J394)</f>
        <v/>
      </c>
      <c r="Y497" s="40" t="str">
        <f t="shared" si="75"/>
        <v/>
      </c>
      <c r="Z497" s="47" t="str">
        <f>IF(K394="","",K394)</f>
        <v/>
      </c>
      <c r="AA497" s="47" t="str">
        <f t="shared" si="76"/>
        <v/>
      </c>
      <c r="AB497" s="47" t="str">
        <f t="shared" si="77"/>
        <v/>
      </c>
      <c r="AC497" s="47" t="str">
        <f t="shared" si="82"/>
        <v/>
      </c>
      <c r="AD497" s="47" t="str">
        <f t="shared" si="78"/>
        <v/>
      </c>
      <c r="AE497" s="47" t="str">
        <f>IF(L394="","",L394)</f>
        <v/>
      </c>
      <c r="AF497" s="40" t="str">
        <f>IF(Z497&lt;&gt;"",IF(AG204="",""")],","), ac("),"")</f>
        <v/>
      </c>
    </row>
    <row r="498" spans="1:32" ht="24.75" hidden="1" x14ac:dyDescent="0.4">
      <c r="A498" s="9" t="str">
        <f t="shared" si="66"/>
        <v>/* 18 */   [ac("", "cp0","")],</v>
      </c>
      <c r="B498" s="9">
        <f t="shared" si="83"/>
        <v>18</v>
      </c>
      <c r="C498" s="9" t="str">
        <f>IF(D498="","",IF(F498="",A498,_xlfn.CONCAT("/* ",B498,"*/      ",E498:AF498)))</f>
        <v/>
      </c>
      <c r="D498" s="39" t="str">
        <f>IF(D395="","","hay letras")</f>
        <v/>
      </c>
      <c r="E498" s="60" t="s">
        <v>52</v>
      </c>
      <c r="F498" s="63" t="str">
        <f>IF(E395="","",E395)</f>
        <v/>
      </c>
      <c r="G498" s="64" t="s">
        <v>53</v>
      </c>
      <c r="H498" s="63" t="str">
        <f t="shared" si="79"/>
        <v/>
      </c>
      <c r="I498" s="64" t="s">
        <v>54</v>
      </c>
      <c r="J498" s="48" t="str">
        <f>IF(F395="","",F395)</f>
        <v/>
      </c>
      <c r="K498" s="40" t="str">
        <f t="shared" si="80"/>
        <v/>
      </c>
      <c r="L498" s="50" t="str">
        <f>IF(G395="","",G395)</f>
        <v/>
      </c>
      <c r="M498" s="51" t="str">
        <f t="shared" si="67"/>
        <v/>
      </c>
      <c r="N498" s="52" t="str">
        <f t="shared" si="68"/>
        <v/>
      </c>
      <c r="O498" s="50" t="str">
        <f t="shared" si="81"/>
        <v/>
      </c>
      <c r="P498" s="52" t="str">
        <f t="shared" si="69"/>
        <v/>
      </c>
      <c r="Q498" s="54" t="str">
        <f>IF(H395="","",H395)</f>
        <v/>
      </c>
      <c r="R498" s="40" t="str">
        <f t="shared" si="70"/>
        <v/>
      </c>
      <c r="S498" s="63" t="str">
        <f>IF(I395="","",I395)</f>
        <v/>
      </c>
      <c r="T498" s="64" t="str">
        <f t="shared" si="71"/>
        <v/>
      </c>
      <c r="U498" s="64" t="str">
        <f t="shared" si="72"/>
        <v/>
      </c>
      <c r="V498" s="63" t="str">
        <f t="shared" si="73"/>
        <v/>
      </c>
      <c r="W498" s="64" t="str">
        <f t="shared" si="74"/>
        <v/>
      </c>
      <c r="X498" s="48" t="str">
        <f>IF(J395="","",J395)</f>
        <v/>
      </c>
      <c r="Y498" s="40" t="str">
        <f t="shared" si="75"/>
        <v/>
      </c>
      <c r="Z498" s="54" t="str">
        <f>IF(K395="","",K395)</f>
        <v/>
      </c>
      <c r="AA498" s="54" t="str">
        <f t="shared" si="76"/>
        <v/>
      </c>
      <c r="AB498" s="54" t="str">
        <f t="shared" si="77"/>
        <v/>
      </c>
      <c r="AC498" s="54" t="str">
        <f t="shared" si="82"/>
        <v/>
      </c>
      <c r="AD498" s="54" t="str">
        <f t="shared" si="78"/>
        <v/>
      </c>
      <c r="AE498" s="54" t="str">
        <f>IF(L395="","",L395)</f>
        <v/>
      </c>
      <c r="AF498" s="40" t="str">
        <f>IF(Z498&lt;&gt;"",IF(AG267="",""")],","), ac("),"")</f>
        <v/>
      </c>
    </row>
    <row r="499" spans="1:32" ht="24.75" hidden="1" x14ac:dyDescent="0.4">
      <c r="A499" s="9" t="str">
        <f t="shared" si="66"/>
        <v>/* 19 */   [ac("", "cp0","")],</v>
      </c>
      <c r="B499" s="9">
        <f t="shared" si="83"/>
        <v>19</v>
      </c>
      <c r="C499" s="9" t="str">
        <f>IF(D499="","",IF(F499="",A499,_xlfn.CONCAT("/* ",B499,"*/      ",E499:AF499)))</f>
        <v/>
      </c>
      <c r="D499" s="39" t="str">
        <f>IF(D396="","","hay letras")</f>
        <v/>
      </c>
      <c r="E499" s="60" t="s">
        <v>52</v>
      </c>
      <c r="F499" s="61" t="str">
        <f>IF(E396="","",E396)</f>
        <v/>
      </c>
      <c r="G499" s="42" t="s">
        <v>53</v>
      </c>
      <c r="H499" s="61" t="str">
        <f t="shared" si="79"/>
        <v/>
      </c>
      <c r="I499" s="42" t="s">
        <v>54</v>
      </c>
      <c r="J499" s="41" t="str">
        <f>IF(F396="","",F396)</f>
        <v/>
      </c>
      <c r="K499" s="40" t="str">
        <f t="shared" si="80"/>
        <v/>
      </c>
      <c r="L499" s="43" t="str">
        <f>IF(G396="","",G396)</f>
        <v/>
      </c>
      <c r="M499" s="44" t="str">
        <f t="shared" si="67"/>
        <v/>
      </c>
      <c r="N499" s="45" t="str">
        <f t="shared" si="68"/>
        <v/>
      </c>
      <c r="O499" s="43" t="str">
        <f t="shared" si="81"/>
        <v/>
      </c>
      <c r="P499" s="45" t="str">
        <f t="shared" si="69"/>
        <v/>
      </c>
      <c r="Q499" s="47" t="str">
        <f>IF(H396="","",H396)</f>
        <v/>
      </c>
      <c r="R499" s="40" t="str">
        <f t="shared" si="70"/>
        <v/>
      </c>
      <c r="S499" s="61" t="str">
        <f>IF(I396="","",I396)</f>
        <v/>
      </c>
      <c r="T499" s="42" t="str">
        <f t="shared" si="71"/>
        <v/>
      </c>
      <c r="U499" s="42" t="str">
        <f t="shared" si="72"/>
        <v/>
      </c>
      <c r="V499" s="61" t="str">
        <f t="shared" si="73"/>
        <v/>
      </c>
      <c r="W499" s="42" t="str">
        <f t="shared" si="74"/>
        <v/>
      </c>
      <c r="X499" s="41" t="str">
        <f>IF(J396="","",J396)</f>
        <v/>
      </c>
      <c r="Y499" s="40" t="str">
        <f t="shared" si="75"/>
        <v/>
      </c>
      <c r="Z499" s="47" t="str">
        <f>IF(K396="","",K396)</f>
        <v/>
      </c>
      <c r="AA499" s="47" t="str">
        <f t="shared" si="76"/>
        <v/>
      </c>
      <c r="AB499" s="47" t="str">
        <f t="shared" si="77"/>
        <v/>
      </c>
      <c r="AC499" s="47" t="str">
        <f t="shared" si="82"/>
        <v/>
      </c>
      <c r="AD499" s="47" t="str">
        <f t="shared" si="78"/>
        <v/>
      </c>
      <c r="AE499" s="47" t="str">
        <f>IF(L396="","",L396)</f>
        <v/>
      </c>
      <c r="AF499" s="40" t="str">
        <f>IF(Z499&lt;&gt;"",IF(AG268="",""")],","), ac("),"")</f>
        <v/>
      </c>
    </row>
    <row r="500" spans="1:32" ht="24.75" hidden="1" x14ac:dyDescent="0.4">
      <c r="A500" s="9" t="str">
        <f t="shared" si="66"/>
        <v>/* 20 */   [ac("", "cp0","")],</v>
      </c>
      <c r="B500" s="9">
        <f t="shared" si="83"/>
        <v>20</v>
      </c>
      <c r="C500" s="9" t="str">
        <f>IF(D500="","",IF(F500="",A500,_xlfn.CONCAT("/* ",B500,"*/      ",E500:AF500)))</f>
        <v/>
      </c>
      <c r="D500" s="39" t="str">
        <f>IF(D397="","","hay letras")</f>
        <v/>
      </c>
      <c r="E500" s="60" t="s">
        <v>52</v>
      </c>
      <c r="F500" s="63" t="str">
        <f>IF(E397="","",E397)</f>
        <v/>
      </c>
      <c r="G500" s="64" t="s">
        <v>53</v>
      </c>
      <c r="H500" s="63" t="str">
        <f t="shared" si="79"/>
        <v/>
      </c>
      <c r="I500" s="64" t="s">
        <v>54</v>
      </c>
      <c r="J500" s="48" t="str">
        <f>IF(F397="","",F397)</f>
        <v/>
      </c>
      <c r="K500" s="40" t="str">
        <f t="shared" si="80"/>
        <v/>
      </c>
      <c r="L500" s="50" t="str">
        <f>IF(G397="","",G397)</f>
        <v/>
      </c>
      <c r="M500" s="51" t="str">
        <f t="shared" si="67"/>
        <v/>
      </c>
      <c r="N500" s="52" t="str">
        <f t="shared" si="68"/>
        <v/>
      </c>
      <c r="O500" s="50" t="str">
        <f t="shared" si="81"/>
        <v/>
      </c>
      <c r="P500" s="52" t="str">
        <f t="shared" si="69"/>
        <v/>
      </c>
      <c r="Q500" s="54" t="str">
        <f>IF(H397="","",H397)</f>
        <v/>
      </c>
      <c r="R500" s="40" t="str">
        <f t="shared" si="70"/>
        <v/>
      </c>
      <c r="S500" s="63" t="str">
        <f>IF(I397="","",I397)</f>
        <v/>
      </c>
      <c r="T500" s="64" t="str">
        <f t="shared" si="71"/>
        <v/>
      </c>
      <c r="U500" s="64" t="str">
        <f t="shared" si="72"/>
        <v/>
      </c>
      <c r="V500" s="63" t="str">
        <f t="shared" si="73"/>
        <v/>
      </c>
      <c r="W500" s="64" t="str">
        <f t="shared" si="74"/>
        <v/>
      </c>
      <c r="X500" s="48" t="str">
        <f>IF(J397="","",J397)</f>
        <v/>
      </c>
      <c r="Y500" s="40" t="str">
        <f t="shared" si="75"/>
        <v/>
      </c>
      <c r="Z500" s="54" t="str">
        <f>IF(K397="","",K397)</f>
        <v/>
      </c>
      <c r="AA500" s="54" t="str">
        <f t="shared" si="76"/>
        <v/>
      </c>
      <c r="AB500" s="54" t="str">
        <f t="shared" si="77"/>
        <v/>
      </c>
      <c r="AC500" s="54" t="str">
        <f t="shared" si="82"/>
        <v/>
      </c>
      <c r="AD500" s="54" t="str">
        <f t="shared" si="78"/>
        <v/>
      </c>
      <c r="AE500" s="54" t="str">
        <f>IF(L397="","",L397)</f>
        <v/>
      </c>
      <c r="AF500" s="40" t="str">
        <f>IF(Z500&lt;&gt;"",IF(AG269="",""")],","), ac("),"")</f>
        <v/>
      </c>
    </row>
    <row r="501" spans="1:32" ht="24.75" hidden="1" x14ac:dyDescent="0.4">
      <c r="A501" s="9" t="str">
        <f t="shared" si="66"/>
        <v>/* 21 */   [ac("", "cp0","")],</v>
      </c>
      <c r="B501" s="9">
        <f t="shared" si="83"/>
        <v>21</v>
      </c>
      <c r="C501" s="9" t="str">
        <f>IF(D501="","",IF(F501="",A501,_xlfn.CONCAT("/* ",B501,"*/      ",E501:AF501)))</f>
        <v/>
      </c>
      <c r="D501" s="39" t="str">
        <f>IF(D398="","","hay letras")</f>
        <v/>
      </c>
      <c r="E501" s="60" t="s">
        <v>52</v>
      </c>
      <c r="F501" s="61" t="str">
        <f>IF(E398="","",E398)</f>
        <v/>
      </c>
      <c r="G501" s="42" t="s">
        <v>53</v>
      </c>
      <c r="H501" s="61" t="str">
        <f t="shared" si="79"/>
        <v/>
      </c>
      <c r="I501" s="42" t="s">
        <v>54</v>
      </c>
      <c r="J501" s="41" t="str">
        <f>IF(F398="","",F398)</f>
        <v/>
      </c>
      <c r="K501" s="40" t="str">
        <f t="shared" si="80"/>
        <v/>
      </c>
      <c r="L501" s="43" t="str">
        <f>IF(G398="","",G398)</f>
        <v/>
      </c>
      <c r="M501" s="44" t="str">
        <f t="shared" si="67"/>
        <v/>
      </c>
      <c r="N501" s="45" t="str">
        <f t="shared" si="68"/>
        <v/>
      </c>
      <c r="O501" s="43" t="str">
        <f t="shared" si="81"/>
        <v/>
      </c>
      <c r="P501" s="45" t="str">
        <f t="shared" si="69"/>
        <v/>
      </c>
      <c r="Q501" s="47" t="str">
        <f>IF(H398="","",H398)</f>
        <v/>
      </c>
      <c r="R501" s="40" t="str">
        <f t="shared" si="70"/>
        <v/>
      </c>
      <c r="S501" s="61" t="str">
        <f>IF(I398="","",I398)</f>
        <v/>
      </c>
      <c r="T501" s="42" t="str">
        <f t="shared" si="71"/>
        <v/>
      </c>
      <c r="U501" s="42" t="str">
        <f t="shared" si="72"/>
        <v/>
      </c>
      <c r="V501" s="61" t="str">
        <f t="shared" si="73"/>
        <v/>
      </c>
      <c r="W501" s="42" t="str">
        <f t="shared" si="74"/>
        <v/>
      </c>
      <c r="X501" s="41" t="str">
        <f>IF(J398="","",J398)</f>
        <v/>
      </c>
      <c r="Y501" s="40" t="str">
        <f t="shared" si="75"/>
        <v/>
      </c>
      <c r="Z501" s="47" t="str">
        <f>IF(K398="","",K398)</f>
        <v/>
      </c>
      <c r="AA501" s="47" t="str">
        <f t="shared" si="76"/>
        <v/>
      </c>
      <c r="AB501" s="47" t="str">
        <f t="shared" si="77"/>
        <v/>
      </c>
      <c r="AC501" s="47" t="str">
        <f t="shared" si="82"/>
        <v/>
      </c>
      <c r="AD501" s="47" t="str">
        <f t="shared" si="78"/>
        <v/>
      </c>
      <c r="AE501" s="47" t="str">
        <f>IF(L398="","",L398)</f>
        <v/>
      </c>
      <c r="AF501" s="40" t="str">
        <f>IF(Z501&lt;&gt;"",IF(AG270="",""")],","), ac("),"")</f>
        <v/>
      </c>
    </row>
    <row r="502" spans="1:32" ht="24.75" hidden="1" x14ac:dyDescent="0.4">
      <c r="A502" s="9" t="str">
        <f t="shared" si="66"/>
        <v>/* 22 */   [ac("", "cp0","")],</v>
      </c>
      <c r="B502" s="9">
        <f t="shared" si="83"/>
        <v>22</v>
      </c>
      <c r="C502" s="9" t="str">
        <f>IF(D502="","",IF(F502="",A502,_xlfn.CONCAT("/* ",B502,"*/      ",E502:AF502)))</f>
        <v/>
      </c>
      <c r="D502" s="39" t="str">
        <f>IF(D399="","","hay letras")</f>
        <v/>
      </c>
      <c r="E502" s="60" t="s">
        <v>52</v>
      </c>
      <c r="F502" s="63" t="str">
        <f>IF(E399="","",E399)</f>
        <v/>
      </c>
      <c r="G502" s="64" t="s">
        <v>53</v>
      </c>
      <c r="H502" s="63" t="str">
        <f t="shared" si="79"/>
        <v/>
      </c>
      <c r="I502" s="64" t="s">
        <v>54</v>
      </c>
      <c r="J502" s="48" t="str">
        <f>IF(F399="","",F399)</f>
        <v/>
      </c>
      <c r="K502" s="40" t="str">
        <f t="shared" si="80"/>
        <v/>
      </c>
      <c r="L502" s="50" t="str">
        <f>IF(G399="","",G399)</f>
        <v/>
      </c>
      <c r="M502" s="51" t="str">
        <f t="shared" si="67"/>
        <v/>
      </c>
      <c r="N502" s="52" t="str">
        <f t="shared" si="68"/>
        <v/>
      </c>
      <c r="O502" s="50" t="str">
        <f t="shared" si="81"/>
        <v/>
      </c>
      <c r="P502" s="52" t="str">
        <f t="shared" si="69"/>
        <v/>
      </c>
      <c r="Q502" s="54" t="str">
        <f>IF(H399="","",H399)</f>
        <v/>
      </c>
      <c r="R502" s="40" t="str">
        <f t="shared" si="70"/>
        <v/>
      </c>
      <c r="S502" s="63" t="str">
        <f>IF(I399="","",I399)</f>
        <v/>
      </c>
      <c r="T502" s="64" t="str">
        <f t="shared" si="71"/>
        <v/>
      </c>
      <c r="U502" s="64" t="str">
        <f t="shared" si="72"/>
        <v/>
      </c>
      <c r="V502" s="63" t="str">
        <f t="shared" si="73"/>
        <v/>
      </c>
      <c r="W502" s="64" t="str">
        <f t="shared" si="74"/>
        <v/>
      </c>
      <c r="X502" s="48" t="str">
        <f>IF(J399="","",J399)</f>
        <v/>
      </c>
      <c r="Y502" s="40" t="str">
        <f t="shared" si="75"/>
        <v/>
      </c>
      <c r="Z502" s="54" t="str">
        <f>IF(K399="","",K399)</f>
        <v/>
      </c>
      <c r="AA502" s="54" t="str">
        <f t="shared" si="76"/>
        <v/>
      </c>
      <c r="AB502" s="54" t="str">
        <f t="shared" si="77"/>
        <v/>
      </c>
      <c r="AC502" s="54" t="str">
        <f t="shared" si="82"/>
        <v/>
      </c>
      <c r="AD502" s="54" t="str">
        <f t="shared" si="78"/>
        <v/>
      </c>
      <c r="AE502" s="54" t="str">
        <f>IF(L399="","",L399)</f>
        <v/>
      </c>
      <c r="AF502" s="40" t="str">
        <f>IF(Z502&lt;&gt;"",IF(AG271="",""")],","), ac("),"")</f>
        <v/>
      </c>
    </row>
    <row r="503" spans="1:32" ht="24.75" hidden="1" x14ac:dyDescent="0.4">
      <c r="A503" s="9" t="str">
        <f t="shared" si="66"/>
        <v>/* 23 */   [ac("", "cp0","")],</v>
      </c>
      <c r="B503" s="9">
        <f t="shared" si="83"/>
        <v>23</v>
      </c>
      <c r="C503" s="9" t="str">
        <f>IF(D503="","",IF(F503="",A503,_xlfn.CONCAT("/* ",B503,"*/      ",E503:AF503)))</f>
        <v/>
      </c>
      <c r="D503" s="39" t="str">
        <f>IF(D400="","","hay letras")</f>
        <v/>
      </c>
      <c r="E503" s="60" t="s">
        <v>52</v>
      </c>
      <c r="F503" s="61" t="str">
        <f>IF(E400="","",E400)</f>
        <v/>
      </c>
      <c r="G503" s="42" t="s">
        <v>53</v>
      </c>
      <c r="H503" s="61" t="str">
        <f t="shared" si="79"/>
        <v/>
      </c>
      <c r="I503" s="42" t="s">
        <v>54</v>
      </c>
      <c r="J503" s="41" t="str">
        <f>IF(F400="","",F400)</f>
        <v/>
      </c>
      <c r="K503" s="40" t="str">
        <f t="shared" si="80"/>
        <v/>
      </c>
      <c r="L503" s="43" t="str">
        <f>IF(G400="","",G400)</f>
        <v/>
      </c>
      <c r="M503" s="44" t="str">
        <f t="shared" si="67"/>
        <v/>
      </c>
      <c r="N503" s="45" t="str">
        <f t="shared" si="68"/>
        <v/>
      </c>
      <c r="O503" s="43" t="str">
        <f t="shared" si="81"/>
        <v/>
      </c>
      <c r="P503" s="45" t="str">
        <f t="shared" si="69"/>
        <v/>
      </c>
      <c r="Q503" s="47" t="str">
        <f>IF(H400="","",H400)</f>
        <v/>
      </c>
      <c r="R503" s="40" t="str">
        <f t="shared" si="70"/>
        <v/>
      </c>
      <c r="S503" s="61" t="str">
        <f>IF(I400="","",I400)</f>
        <v/>
      </c>
      <c r="T503" s="42" t="str">
        <f t="shared" si="71"/>
        <v/>
      </c>
      <c r="U503" s="42" t="str">
        <f t="shared" si="72"/>
        <v/>
      </c>
      <c r="V503" s="61" t="str">
        <f t="shared" si="73"/>
        <v/>
      </c>
      <c r="W503" s="42" t="str">
        <f t="shared" si="74"/>
        <v/>
      </c>
      <c r="X503" s="41" t="str">
        <f>IF(J400="","",J400)</f>
        <v/>
      </c>
      <c r="Y503" s="40" t="str">
        <f t="shared" si="75"/>
        <v/>
      </c>
      <c r="Z503" s="47" t="str">
        <f>IF(K400="","",K400)</f>
        <v/>
      </c>
      <c r="AA503" s="47" t="str">
        <f t="shared" si="76"/>
        <v/>
      </c>
      <c r="AB503" s="47" t="str">
        <f t="shared" si="77"/>
        <v/>
      </c>
      <c r="AC503" s="47" t="str">
        <f t="shared" si="82"/>
        <v/>
      </c>
      <c r="AD503" s="47" t="str">
        <f t="shared" si="78"/>
        <v/>
      </c>
      <c r="AE503" s="47" t="str">
        <f>IF(L400="","",L400)</f>
        <v/>
      </c>
      <c r="AF503" s="40" t="str">
        <f>IF(Z503&lt;&gt;"",IF(AG272="",""")],","), ac("),"")</f>
        <v/>
      </c>
    </row>
    <row r="504" spans="1:32" ht="24.75" hidden="1" x14ac:dyDescent="0.4">
      <c r="A504" s="9" t="str">
        <f t="shared" si="66"/>
        <v>/* 24 */   [ac("", "cp0","")],</v>
      </c>
      <c r="B504" s="9">
        <f t="shared" si="83"/>
        <v>24</v>
      </c>
      <c r="C504" s="9" t="str">
        <f>IF(D504="","",IF(F504="",A504,_xlfn.CONCAT("/* ",B504,"*/      ",E504:AF504)))</f>
        <v/>
      </c>
      <c r="D504" s="39" t="str">
        <f>IF(D401="","","hay letras")</f>
        <v/>
      </c>
      <c r="E504" s="60" t="s">
        <v>52</v>
      </c>
      <c r="F504" s="63" t="str">
        <f>IF(E401="","",E401)</f>
        <v/>
      </c>
      <c r="G504" s="64" t="s">
        <v>53</v>
      </c>
      <c r="H504" s="63" t="str">
        <f t="shared" si="79"/>
        <v/>
      </c>
      <c r="I504" s="64" t="s">
        <v>54</v>
      </c>
      <c r="J504" s="48" t="str">
        <f>IF(F401="","",F401)</f>
        <v/>
      </c>
      <c r="K504" s="40" t="str">
        <f t="shared" si="80"/>
        <v/>
      </c>
      <c r="L504" s="50" t="str">
        <f>IF(G401="","",G401)</f>
        <v/>
      </c>
      <c r="M504" s="51" t="str">
        <f t="shared" si="67"/>
        <v/>
      </c>
      <c r="N504" s="52" t="str">
        <f t="shared" si="68"/>
        <v/>
      </c>
      <c r="O504" s="50" t="str">
        <f t="shared" si="81"/>
        <v/>
      </c>
      <c r="P504" s="52" t="str">
        <f t="shared" si="69"/>
        <v/>
      </c>
      <c r="Q504" s="54" t="str">
        <f>IF(H401="","",H401)</f>
        <v/>
      </c>
      <c r="R504" s="40" t="str">
        <f t="shared" si="70"/>
        <v/>
      </c>
      <c r="S504" s="63" t="str">
        <f>IF(I401="","",I401)</f>
        <v/>
      </c>
      <c r="T504" s="64" t="str">
        <f t="shared" si="71"/>
        <v/>
      </c>
      <c r="U504" s="64" t="str">
        <f t="shared" si="72"/>
        <v/>
      </c>
      <c r="V504" s="63" t="str">
        <f t="shared" si="73"/>
        <v/>
      </c>
      <c r="W504" s="64" t="str">
        <f t="shared" si="74"/>
        <v/>
      </c>
      <c r="X504" s="48" t="str">
        <f>IF(J401="","",J401)</f>
        <v/>
      </c>
      <c r="Y504" s="40" t="str">
        <f t="shared" si="75"/>
        <v/>
      </c>
      <c r="Z504" s="54" t="str">
        <f>IF(K401="","",K401)</f>
        <v/>
      </c>
      <c r="AA504" s="54" t="str">
        <f t="shared" si="76"/>
        <v/>
      </c>
      <c r="AB504" s="54" t="str">
        <f t="shared" si="77"/>
        <v/>
      </c>
      <c r="AC504" s="54" t="str">
        <f t="shared" si="82"/>
        <v/>
      </c>
      <c r="AD504" s="54" t="str">
        <f t="shared" si="78"/>
        <v/>
      </c>
      <c r="AE504" s="54" t="str">
        <f>IF(L401="","",L401)</f>
        <v/>
      </c>
      <c r="AF504" s="40" t="str">
        <f>IF(Z504&lt;&gt;"",IF(AG273="",""")],","), ac("),"")</f>
        <v/>
      </c>
    </row>
    <row r="505" spans="1:32" ht="24.75" hidden="1" x14ac:dyDescent="0.4">
      <c r="A505" s="9" t="str">
        <f t="shared" si="66"/>
        <v>/* 25 */   [ac("", "cp0","")],</v>
      </c>
      <c r="B505" s="9">
        <f t="shared" si="83"/>
        <v>25</v>
      </c>
      <c r="C505" s="9" t="str">
        <f>IF(D505="","",IF(F505="",A505,_xlfn.CONCAT("/* ",B505,"*/      ",E505:AF505)))</f>
        <v/>
      </c>
      <c r="D505" s="39" t="str">
        <f>IF(D402="","","hay letras")</f>
        <v/>
      </c>
      <c r="E505" s="60" t="s">
        <v>52</v>
      </c>
      <c r="F505" s="61" t="str">
        <f>IF(E402="","",E402)</f>
        <v/>
      </c>
      <c r="G505" s="42" t="s">
        <v>53</v>
      </c>
      <c r="H505" s="61" t="str">
        <f t="shared" si="79"/>
        <v/>
      </c>
      <c r="I505" s="42" t="s">
        <v>54</v>
      </c>
      <c r="J505" s="41" t="str">
        <f>IF(F402="","",F402)</f>
        <v/>
      </c>
      <c r="K505" s="40" t="str">
        <f t="shared" si="80"/>
        <v/>
      </c>
      <c r="L505" s="43" t="str">
        <f>IF(G402="","",G402)</f>
        <v/>
      </c>
      <c r="M505" s="44" t="str">
        <f t="shared" si="67"/>
        <v/>
      </c>
      <c r="N505" s="45" t="str">
        <f t="shared" si="68"/>
        <v/>
      </c>
      <c r="O505" s="43" t="str">
        <f t="shared" si="81"/>
        <v/>
      </c>
      <c r="P505" s="45" t="str">
        <f t="shared" si="69"/>
        <v/>
      </c>
      <c r="Q505" s="47" t="str">
        <f>IF(H402="","",H402)</f>
        <v/>
      </c>
      <c r="R505" s="40" t="str">
        <f t="shared" si="70"/>
        <v/>
      </c>
      <c r="S505" s="61" t="str">
        <f>IF(I402="","",I402)</f>
        <v/>
      </c>
      <c r="T505" s="42" t="str">
        <f t="shared" si="71"/>
        <v/>
      </c>
      <c r="U505" s="42" t="str">
        <f t="shared" si="72"/>
        <v/>
      </c>
      <c r="V505" s="61" t="str">
        <f t="shared" si="73"/>
        <v/>
      </c>
      <c r="W505" s="42" t="str">
        <f t="shared" si="74"/>
        <v/>
      </c>
      <c r="X505" s="41" t="str">
        <f>IF(J402="","",J402)</f>
        <v/>
      </c>
      <c r="Y505" s="40" t="str">
        <f t="shared" si="75"/>
        <v/>
      </c>
      <c r="Z505" s="47" t="str">
        <f>IF(K402="","",K402)</f>
        <v/>
      </c>
      <c r="AA505" s="47" t="str">
        <f t="shared" si="76"/>
        <v/>
      </c>
      <c r="AB505" s="47" t="str">
        <f t="shared" si="77"/>
        <v/>
      </c>
      <c r="AC505" s="47" t="str">
        <f t="shared" si="82"/>
        <v/>
      </c>
      <c r="AD505" s="47" t="str">
        <f t="shared" si="78"/>
        <v/>
      </c>
      <c r="AE505" s="47" t="str">
        <f>IF(L402="","",L402)</f>
        <v/>
      </c>
      <c r="AF505" s="40" t="str">
        <f>IF(Z505&lt;&gt;"",IF(AG274="",""")],","), ac("),"")</f>
        <v/>
      </c>
    </row>
    <row r="506" spans="1:32" ht="24.75" hidden="1" x14ac:dyDescent="0.4">
      <c r="A506" s="9" t="str">
        <f t="shared" si="66"/>
        <v>/* 26 */   [ac("", "cp0","")],</v>
      </c>
      <c r="B506" s="9">
        <f t="shared" si="83"/>
        <v>26</v>
      </c>
      <c r="C506" s="9" t="str">
        <f>IF(D506="","",IF(F506="",A506,_xlfn.CONCAT("/* ",B506,"*/      ",E506:AF506)))</f>
        <v/>
      </c>
      <c r="D506" s="39" t="str">
        <f>IF(D403="","","hay letras")</f>
        <v/>
      </c>
      <c r="E506" s="60" t="s">
        <v>52</v>
      </c>
      <c r="F506" s="63" t="str">
        <f>IF(E403="","",E403)</f>
        <v/>
      </c>
      <c r="G506" s="64" t="s">
        <v>53</v>
      </c>
      <c r="H506" s="63" t="str">
        <f t="shared" si="79"/>
        <v/>
      </c>
      <c r="I506" s="64" t="s">
        <v>54</v>
      </c>
      <c r="J506" s="48" t="str">
        <f>IF(F403="","",F403)</f>
        <v/>
      </c>
      <c r="K506" s="40" t="str">
        <f t="shared" si="80"/>
        <v/>
      </c>
      <c r="L506" s="50" t="str">
        <f>IF(G403="","",G403)</f>
        <v/>
      </c>
      <c r="M506" s="51" t="str">
        <f t="shared" si="67"/>
        <v/>
      </c>
      <c r="N506" s="52" t="str">
        <f t="shared" si="68"/>
        <v/>
      </c>
      <c r="O506" s="50" t="str">
        <f t="shared" si="81"/>
        <v/>
      </c>
      <c r="P506" s="52" t="str">
        <f t="shared" si="69"/>
        <v/>
      </c>
      <c r="Q506" s="54" t="str">
        <f>IF(H403="","",H403)</f>
        <v/>
      </c>
      <c r="R506" s="40" t="str">
        <f t="shared" si="70"/>
        <v/>
      </c>
      <c r="S506" s="63" t="str">
        <f>IF(I403="","",I403)</f>
        <v/>
      </c>
      <c r="T506" s="64" t="str">
        <f t="shared" si="71"/>
        <v/>
      </c>
      <c r="U506" s="64" t="str">
        <f t="shared" si="72"/>
        <v/>
      </c>
      <c r="V506" s="63" t="str">
        <f t="shared" si="73"/>
        <v/>
      </c>
      <c r="W506" s="64" t="str">
        <f t="shared" si="74"/>
        <v/>
      </c>
      <c r="X506" s="48" t="str">
        <f>IF(J403="","",J403)</f>
        <v/>
      </c>
      <c r="Y506" s="40" t="str">
        <f t="shared" si="75"/>
        <v/>
      </c>
      <c r="Z506" s="54" t="str">
        <f>IF(K403="","",K403)</f>
        <v/>
      </c>
      <c r="AA506" s="54" t="str">
        <f t="shared" si="76"/>
        <v/>
      </c>
      <c r="AB506" s="54" t="str">
        <f t="shared" si="77"/>
        <v/>
      </c>
      <c r="AC506" s="54" t="str">
        <f t="shared" si="82"/>
        <v/>
      </c>
      <c r="AD506" s="54" t="str">
        <f t="shared" si="78"/>
        <v/>
      </c>
      <c r="AE506" s="54" t="str">
        <f>IF(L403="","",L403)</f>
        <v/>
      </c>
      <c r="AF506" s="40" t="str">
        <f>IF(Z506&lt;&gt;"",IF(AG275="",""")],","), ac("),"")</f>
        <v/>
      </c>
    </row>
    <row r="507" spans="1:32" ht="24.75" hidden="1" x14ac:dyDescent="0.4">
      <c r="A507" s="9" t="str">
        <f t="shared" si="66"/>
        <v>/* 27 */   [ac("", "cp0","")],</v>
      </c>
      <c r="B507" s="9">
        <f t="shared" si="83"/>
        <v>27</v>
      </c>
      <c r="C507" s="9" t="str">
        <f>IF(D507="","",IF(F507="",A507,_xlfn.CONCAT("/* ",B507,"*/      ",E507:AF507)))</f>
        <v/>
      </c>
      <c r="D507" s="39" t="str">
        <f>IF(D404="","","hay letras")</f>
        <v/>
      </c>
      <c r="E507" s="60" t="s">
        <v>52</v>
      </c>
      <c r="F507" s="61" t="str">
        <f>IF(E404="","",E404)</f>
        <v/>
      </c>
      <c r="G507" s="42" t="s">
        <v>53</v>
      </c>
      <c r="H507" s="61" t="str">
        <f t="shared" si="79"/>
        <v/>
      </c>
      <c r="I507" s="42" t="s">
        <v>54</v>
      </c>
      <c r="J507" s="41" t="str">
        <f>IF(F404="","",F404)</f>
        <v/>
      </c>
      <c r="K507" s="40" t="str">
        <f t="shared" si="80"/>
        <v/>
      </c>
      <c r="L507" s="43" t="str">
        <f>IF(G404="","",G404)</f>
        <v/>
      </c>
      <c r="M507" s="44" t="str">
        <f t="shared" si="67"/>
        <v/>
      </c>
      <c r="N507" s="45" t="str">
        <f t="shared" si="68"/>
        <v/>
      </c>
      <c r="O507" s="43" t="str">
        <f t="shared" si="81"/>
        <v/>
      </c>
      <c r="P507" s="45" t="str">
        <f t="shared" si="69"/>
        <v/>
      </c>
      <c r="Q507" s="47" t="str">
        <f>IF(H404="","",H404)</f>
        <v/>
      </c>
      <c r="R507" s="40" t="str">
        <f t="shared" si="70"/>
        <v/>
      </c>
      <c r="S507" s="61" t="str">
        <f>IF(I404="","",I404)</f>
        <v/>
      </c>
      <c r="T507" s="42" t="str">
        <f t="shared" si="71"/>
        <v/>
      </c>
      <c r="U507" s="42" t="str">
        <f t="shared" si="72"/>
        <v/>
      </c>
      <c r="V507" s="61" t="str">
        <f t="shared" si="73"/>
        <v/>
      </c>
      <c r="W507" s="42" t="str">
        <f t="shared" si="74"/>
        <v/>
      </c>
      <c r="X507" s="41" t="str">
        <f>IF(J404="","",J404)</f>
        <v/>
      </c>
      <c r="Y507" s="40" t="str">
        <f t="shared" si="75"/>
        <v/>
      </c>
      <c r="Z507" s="47" t="str">
        <f>IF(K404="","",K404)</f>
        <v/>
      </c>
      <c r="AA507" s="47" t="str">
        <f t="shared" si="76"/>
        <v/>
      </c>
      <c r="AB507" s="47" t="str">
        <f t="shared" si="77"/>
        <v/>
      </c>
      <c r="AC507" s="47" t="str">
        <f t="shared" si="82"/>
        <v/>
      </c>
      <c r="AD507" s="47" t="str">
        <f t="shared" si="78"/>
        <v/>
      </c>
      <c r="AE507" s="47" t="str">
        <f>IF(L404="","",L404)</f>
        <v/>
      </c>
      <c r="AF507" s="40" t="str">
        <f>IF(Z507&lt;&gt;"",IF(AG276="",""")],","), ac("),"")</f>
        <v/>
      </c>
    </row>
    <row r="508" spans="1:32" ht="24.75" hidden="1" x14ac:dyDescent="0.4">
      <c r="A508" s="9" t="str">
        <f t="shared" si="66"/>
        <v>/* 28 */   [ac("", "cp0","")],</v>
      </c>
      <c r="B508" s="9">
        <f t="shared" si="83"/>
        <v>28</v>
      </c>
      <c r="C508" s="9" t="str">
        <f>IF(D508="","",IF(F508="",A508,_xlfn.CONCAT("/* ",B508,"*/      ",E508:AF508)))</f>
        <v/>
      </c>
      <c r="D508" s="39" t="str">
        <f>IF(D405="","","hay letras")</f>
        <v/>
      </c>
      <c r="E508" s="60" t="s">
        <v>52</v>
      </c>
      <c r="F508" s="63" t="str">
        <f>IF(E405="","",E405)</f>
        <v/>
      </c>
      <c r="G508" s="64" t="s">
        <v>53</v>
      </c>
      <c r="H508" s="63" t="str">
        <f t="shared" si="79"/>
        <v/>
      </c>
      <c r="I508" s="64" t="s">
        <v>54</v>
      </c>
      <c r="J508" s="48" t="str">
        <f>IF(F405="","",F405)</f>
        <v/>
      </c>
      <c r="K508" s="40" t="str">
        <f t="shared" si="80"/>
        <v/>
      </c>
      <c r="L508" s="50" t="str">
        <f>IF(G405="","",G405)</f>
        <v/>
      </c>
      <c r="M508" s="51" t="str">
        <f t="shared" si="67"/>
        <v/>
      </c>
      <c r="N508" s="52" t="str">
        <f t="shared" si="68"/>
        <v/>
      </c>
      <c r="O508" s="50" t="str">
        <f t="shared" si="81"/>
        <v/>
      </c>
      <c r="P508" s="52" t="str">
        <f t="shared" si="69"/>
        <v/>
      </c>
      <c r="Q508" s="54" t="str">
        <f>IF(H405="","",H405)</f>
        <v/>
      </c>
      <c r="R508" s="40" t="str">
        <f t="shared" si="70"/>
        <v/>
      </c>
      <c r="S508" s="63" t="str">
        <f>IF(I405="","",I405)</f>
        <v/>
      </c>
      <c r="T508" s="64" t="str">
        <f t="shared" si="71"/>
        <v/>
      </c>
      <c r="U508" s="64" t="str">
        <f t="shared" si="72"/>
        <v/>
      </c>
      <c r="V508" s="63" t="str">
        <f t="shared" si="73"/>
        <v/>
      </c>
      <c r="W508" s="64" t="str">
        <f t="shared" si="74"/>
        <v/>
      </c>
      <c r="X508" s="48" t="str">
        <f>IF(J405="","",J405)</f>
        <v/>
      </c>
      <c r="Y508" s="40" t="str">
        <f t="shared" si="75"/>
        <v/>
      </c>
      <c r="Z508" s="54" t="str">
        <f>IF(K405="","",K405)</f>
        <v/>
      </c>
      <c r="AA508" s="54" t="str">
        <f t="shared" si="76"/>
        <v/>
      </c>
      <c r="AB508" s="54" t="str">
        <f t="shared" si="77"/>
        <v/>
      </c>
      <c r="AC508" s="54" t="str">
        <f t="shared" si="82"/>
        <v/>
      </c>
      <c r="AD508" s="54" t="str">
        <f t="shared" si="78"/>
        <v/>
      </c>
      <c r="AE508" s="54" t="str">
        <f>IF(L405="","",L405)</f>
        <v/>
      </c>
      <c r="AF508" s="40" t="str">
        <f>IF(Z508&lt;&gt;"",IF(AG277="",""")],","), ac("),"")</f>
        <v/>
      </c>
    </row>
    <row r="509" spans="1:32" ht="24.75" hidden="1" x14ac:dyDescent="0.4">
      <c r="A509" s="9" t="str">
        <f t="shared" si="66"/>
        <v>/* 29 */   [ac("", "cp0","")],</v>
      </c>
      <c r="B509" s="9">
        <f t="shared" si="83"/>
        <v>29</v>
      </c>
      <c r="C509" s="9" t="str">
        <f>IF(D509="","",IF(F509="",A509,_xlfn.CONCAT("/* ",B509,"*/      ",E509:AF509)))</f>
        <v/>
      </c>
      <c r="D509" s="39" t="str">
        <f>IF(D406="","","hay letras")</f>
        <v/>
      </c>
      <c r="E509" s="60" t="s">
        <v>52</v>
      </c>
      <c r="F509" s="61" t="str">
        <f>IF(E406="","",E406)</f>
        <v/>
      </c>
      <c r="G509" s="42" t="s">
        <v>53</v>
      </c>
      <c r="H509" s="61" t="str">
        <f t="shared" si="79"/>
        <v/>
      </c>
      <c r="I509" s="42" t="s">
        <v>54</v>
      </c>
      <c r="J509" s="41" t="str">
        <f>IF(F406="","",F406)</f>
        <v/>
      </c>
      <c r="K509" s="40" t="str">
        <f t="shared" si="80"/>
        <v/>
      </c>
      <c r="L509" s="43" t="str">
        <f>IF(G406="","",G406)</f>
        <v/>
      </c>
      <c r="M509" s="44" t="str">
        <f t="shared" si="67"/>
        <v/>
      </c>
      <c r="N509" s="45" t="str">
        <f t="shared" si="68"/>
        <v/>
      </c>
      <c r="O509" s="43" t="str">
        <f t="shared" si="81"/>
        <v/>
      </c>
      <c r="P509" s="45" t="str">
        <f t="shared" si="69"/>
        <v/>
      </c>
      <c r="Q509" s="47" t="str">
        <f>IF(H406="","",H406)</f>
        <v/>
      </c>
      <c r="R509" s="40" t="str">
        <f t="shared" si="70"/>
        <v/>
      </c>
      <c r="S509" s="61" t="str">
        <f>IF(I406="","",I406)</f>
        <v/>
      </c>
      <c r="T509" s="42" t="str">
        <f t="shared" si="71"/>
        <v/>
      </c>
      <c r="U509" s="42" t="str">
        <f t="shared" si="72"/>
        <v/>
      </c>
      <c r="V509" s="61" t="str">
        <f t="shared" si="73"/>
        <v/>
      </c>
      <c r="W509" s="42" t="str">
        <f t="shared" si="74"/>
        <v/>
      </c>
      <c r="X509" s="41" t="str">
        <f>IF(J406="","",J406)</f>
        <v/>
      </c>
      <c r="Y509" s="40" t="str">
        <f t="shared" si="75"/>
        <v/>
      </c>
      <c r="Z509" s="47" t="str">
        <f>IF(K406="","",K406)</f>
        <v/>
      </c>
      <c r="AA509" s="47" t="str">
        <f t="shared" si="76"/>
        <v/>
      </c>
      <c r="AB509" s="47" t="str">
        <f t="shared" si="77"/>
        <v/>
      </c>
      <c r="AC509" s="47" t="str">
        <f t="shared" si="82"/>
        <v/>
      </c>
      <c r="AD509" s="47" t="str">
        <f t="shared" si="78"/>
        <v/>
      </c>
      <c r="AE509" s="47" t="str">
        <f>IF(L406="","",L406)</f>
        <v/>
      </c>
      <c r="AF509" s="40" t="str">
        <f>IF(Z509&lt;&gt;"",IF(AG278="",""")],","), ac("),"")</f>
        <v/>
      </c>
    </row>
    <row r="510" spans="1:32" ht="24.75" hidden="1" x14ac:dyDescent="0.4">
      <c r="A510" s="9" t="str">
        <f t="shared" si="66"/>
        <v>/* 30 */   [ac("", "cp0","")],</v>
      </c>
      <c r="B510" s="9">
        <f t="shared" si="83"/>
        <v>30</v>
      </c>
      <c r="C510" s="9" t="str">
        <f>IF(D510="","",IF(F510="",A510,_xlfn.CONCAT("/* ",B510,"*/      ",E510:AF510)))</f>
        <v/>
      </c>
      <c r="D510" s="39" t="str">
        <f>IF(D407="","","hay letras")</f>
        <v/>
      </c>
      <c r="E510" s="60" t="s">
        <v>52</v>
      </c>
      <c r="F510" s="63" t="str">
        <f>IF(E407="","",E407)</f>
        <v/>
      </c>
      <c r="G510" s="64" t="s">
        <v>53</v>
      </c>
      <c r="H510" s="63" t="str">
        <f t="shared" si="79"/>
        <v/>
      </c>
      <c r="I510" s="64" t="s">
        <v>54</v>
      </c>
      <c r="J510" s="48" t="str">
        <f>IF(F407="","",F407)</f>
        <v/>
      </c>
      <c r="K510" s="40" t="str">
        <f t="shared" si="80"/>
        <v/>
      </c>
      <c r="L510" s="50" t="str">
        <f>IF(G407="","",G407)</f>
        <v/>
      </c>
      <c r="M510" s="51" t="str">
        <f t="shared" si="67"/>
        <v/>
      </c>
      <c r="N510" s="52" t="str">
        <f t="shared" si="68"/>
        <v/>
      </c>
      <c r="O510" s="50" t="str">
        <f t="shared" si="81"/>
        <v/>
      </c>
      <c r="P510" s="52" t="str">
        <f t="shared" si="69"/>
        <v/>
      </c>
      <c r="Q510" s="54" t="str">
        <f>IF(H407="","",H407)</f>
        <v/>
      </c>
      <c r="R510" s="40" t="str">
        <f t="shared" si="70"/>
        <v/>
      </c>
      <c r="S510" s="63" t="str">
        <f>IF(I407="","",I407)</f>
        <v/>
      </c>
      <c r="T510" s="64" t="str">
        <f t="shared" si="71"/>
        <v/>
      </c>
      <c r="U510" s="64" t="str">
        <f t="shared" si="72"/>
        <v/>
      </c>
      <c r="V510" s="63" t="str">
        <f t="shared" si="73"/>
        <v/>
      </c>
      <c r="W510" s="64" t="str">
        <f t="shared" si="74"/>
        <v/>
      </c>
      <c r="X510" s="48" t="str">
        <f>IF(J407="","",J407)</f>
        <v/>
      </c>
      <c r="Y510" s="40" t="str">
        <f t="shared" si="75"/>
        <v/>
      </c>
      <c r="Z510" s="54" t="str">
        <f>IF(K407="","",K407)</f>
        <v/>
      </c>
      <c r="AA510" s="54" t="str">
        <f t="shared" si="76"/>
        <v/>
      </c>
      <c r="AB510" s="54" t="str">
        <f t="shared" si="77"/>
        <v/>
      </c>
      <c r="AC510" s="54" t="str">
        <f t="shared" si="82"/>
        <v/>
      </c>
      <c r="AD510" s="54" t="str">
        <f t="shared" si="78"/>
        <v/>
      </c>
      <c r="AE510" s="54" t="str">
        <f>IF(L407="","",L407)</f>
        <v/>
      </c>
      <c r="AF510" s="40" t="str">
        <f>IF(Z510&lt;&gt;"",IF(AG279="",""")],","), ac("),"")</f>
        <v/>
      </c>
    </row>
    <row r="511" spans="1:32" ht="24.75" hidden="1" x14ac:dyDescent="0.4">
      <c r="A511" s="9" t="str">
        <f t="shared" si="66"/>
        <v>/* 31 */   [ac("", "cp0","")],</v>
      </c>
      <c r="B511" s="9">
        <f t="shared" si="83"/>
        <v>31</v>
      </c>
      <c r="C511" s="9" t="str">
        <f>IF(D511="","",IF(F511="",A511,_xlfn.CONCAT("/* ",B511,"*/      ",E511:AF511)))</f>
        <v/>
      </c>
      <c r="D511" s="39" t="str">
        <f>IF(D408="","","hay letras")</f>
        <v/>
      </c>
      <c r="E511" s="60" t="s">
        <v>52</v>
      </c>
      <c r="F511" s="61" t="str">
        <f>IF(E408="","",E408)</f>
        <v/>
      </c>
      <c r="G511" s="42" t="s">
        <v>53</v>
      </c>
      <c r="H511" s="61" t="str">
        <f t="shared" si="79"/>
        <v/>
      </c>
      <c r="I511" s="42" t="s">
        <v>54</v>
      </c>
      <c r="J511" s="41" t="str">
        <f>IF(F408="","",F408)</f>
        <v/>
      </c>
      <c r="K511" s="40" t="str">
        <f t="shared" si="80"/>
        <v/>
      </c>
      <c r="L511" s="43" t="str">
        <f>IF(G408="","",G408)</f>
        <v/>
      </c>
      <c r="M511" s="44" t="str">
        <f t="shared" si="67"/>
        <v/>
      </c>
      <c r="N511" s="45" t="str">
        <f t="shared" si="68"/>
        <v/>
      </c>
      <c r="O511" s="43" t="str">
        <f t="shared" si="81"/>
        <v/>
      </c>
      <c r="P511" s="45" t="str">
        <f t="shared" si="69"/>
        <v/>
      </c>
      <c r="Q511" s="47" t="str">
        <f>IF(H408="","",H408)</f>
        <v/>
      </c>
      <c r="R511" s="40" t="str">
        <f t="shared" si="70"/>
        <v/>
      </c>
      <c r="S511" s="61" t="str">
        <f>IF(I408="","",I408)</f>
        <v/>
      </c>
      <c r="T511" s="42" t="str">
        <f t="shared" si="71"/>
        <v/>
      </c>
      <c r="U511" s="42" t="str">
        <f t="shared" si="72"/>
        <v/>
      </c>
      <c r="V511" s="61" t="str">
        <f t="shared" si="73"/>
        <v/>
      </c>
      <c r="W511" s="42" t="str">
        <f t="shared" si="74"/>
        <v/>
      </c>
      <c r="X511" s="41" t="str">
        <f>IF(J408="","",J408)</f>
        <v/>
      </c>
      <c r="Y511" s="40" t="str">
        <f t="shared" si="75"/>
        <v/>
      </c>
      <c r="Z511" s="47" t="str">
        <f>IF(K408="","",K408)</f>
        <v/>
      </c>
      <c r="AA511" s="47" t="str">
        <f t="shared" si="76"/>
        <v/>
      </c>
      <c r="AB511" s="47" t="str">
        <f t="shared" si="77"/>
        <v/>
      </c>
      <c r="AC511" s="47" t="str">
        <f t="shared" si="82"/>
        <v/>
      </c>
      <c r="AD511" s="47" t="str">
        <f t="shared" si="78"/>
        <v/>
      </c>
      <c r="AE511" s="47" t="str">
        <f>IF(L408="","",L408)</f>
        <v/>
      </c>
      <c r="AF511" s="40" t="str">
        <f>IF(Z511&lt;&gt;"",IF(AG280="",""")],","), ac("),"")</f>
        <v/>
      </c>
    </row>
    <row r="512" spans="1:32" ht="24.75" hidden="1" x14ac:dyDescent="0.4">
      <c r="A512" s="9" t="str">
        <f t="shared" si="66"/>
        <v>/* 32 */   [ac("", "cp0","")],</v>
      </c>
      <c r="B512" s="9">
        <f t="shared" si="83"/>
        <v>32</v>
      </c>
      <c r="C512" s="9" t="str">
        <f>IF(D512="","",IF(F512="",A512,_xlfn.CONCAT("/* ",B512,"*/      ",E512:AF512)))</f>
        <v/>
      </c>
      <c r="D512" s="39" t="str">
        <f>IF(D409="","","hay letras")</f>
        <v/>
      </c>
      <c r="E512" s="60" t="s">
        <v>52</v>
      </c>
      <c r="F512" s="63" t="str">
        <f>IF(E409="","",E409)</f>
        <v/>
      </c>
      <c r="G512" s="64" t="s">
        <v>53</v>
      </c>
      <c r="H512" s="63" t="str">
        <f t="shared" si="79"/>
        <v/>
      </c>
      <c r="I512" s="64" t="s">
        <v>54</v>
      </c>
      <c r="J512" s="48" t="str">
        <f>IF(F409="","",F409)</f>
        <v/>
      </c>
      <c r="K512" s="40" t="str">
        <f t="shared" si="80"/>
        <v/>
      </c>
      <c r="L512" s="50" t="str">
        <f>IF(G409="","",G409)</f>
        <v/>
      </c>
      <c r="M512" s="51" t="str">
        <f t="shared" si="67"/>
        <v/>
      </c>
      <c r="N512" s="52" t="str">
        <f t="shared" si="68"/>
        <v/>
      </c>
      <c r="O512" s="50" t="str">
        <f t="shared" si="81"/>
        <v/>
      </c>
      <c r="P512" s="52" t="str">
        <f t="shared" si="69"/>
        <v/>
      </c>
      <c r="Q512" s="54" t="str">
        <f>IF(H409="","",H409)</f>
        <v/>
      </c>
      <c r="R512" s="40" t="str">
        <f t="shared" si="70"/>
        <v/>
      </c>
      <c r="S512" s="63" t="str">
        <f>IF(I409="","",I409)</f>
        <v/>
      </c>
      <c r="T512" s="64" t="str">
        <f t="shared" si="71"/>
        <v/>
      </c>
      <c r="U512" s="64" t="str">
        <f t="shared" si="72"/>
        <v/>
      </c>
      <c r="V512" s="63" t="str">
        <f t="shared" si="73"/>
        <v/>
      </c>
      <c r="W512" s="64" t="str">
        <f t="shared" si="74"/>
        <v/>
      </c>
      <c r="X512" s="48" t="str">
        <f>IF(J409="","",J409)</f>
        <v/>
      </c>
      <c r="Y512" s="40" t="str">
        <f t="shared" si="75"/>
        <v/>
      </c>
      <c r="Z512" s="54" t="str">
        <f>IF(K409="","",K409)</f>
        <v/>
      </c>
      <c r="AA512" s="54" t="str">
        <f t="shared" si="76"/>
        <v/>
      </c>
      <c r="AB512" s="54" t="str">
        <f t="shared" si="77"/>
        <v/>
      </c>
      <c r="AC512" s="54" t="str">
        <f t="shared" si="82"/>
        <v/>
      </c>
      <c r="AD512" s="54" t="str">
        <f t="shared" si="78"/>
        <v/>
      </c>
      <c r="AE512" s="54" t="str">
        <f>IF(L409="","",L409)</f>
        <v/>
      </c>
      <c r="AF512" s="40" t="str">
        <f>IF(Z512&lt;&gt;"",IF(AG281="",""")],","), ac("),"")</f>
        <v/>
      </c>
    </row>
    <row r="513" spans="1:32" ht="24.75" hidden="1" x14ac:dyDescent="0.4">
      <c r="A513" s="9" t="str">
        <f t="shared" si="66"/>
        <v>/* 33 */   [ac("", "cp0","")],</v>
      </c>
      <c r="B513" s="9">
        <f t="shared" si="83"/>
        <v>33</v>
      </c>
      <c r="C513" s="9" t="str">
        <f>IF(D513="","",IF(F513="",A513,_xlfn.CONCAT("/* ",B513,"*/      ",E513:AF513)))</f>
        <v/>
      </c>
      <c r="D513" s="39" t="str">
        <f>IF(D410="","","hay letras")</f>
        <v/>
      </c>
      <c r="E513" s="60" t="s">
        <v>52</v>
      </c>
      <c r="F513" s="61" t="str">
        <f>IF(E410="","",E410)</f>
        <v/>
      </c>
      <c r="G513" s="42" t="s">
        <v>53</v>
      </c>
      <c r="H513" s="61" t="str">
        <f t="shared" si="79"/>
        <v/>
      </c>
      <c r="I513" s="42" t="s">
        <v>54</v>
      </c>
      <c r="J513" s="41" t="str">
        <f>IF(F410="","",F410)</f>
        <v/>
      </c>
      <c r="K513" s="40" t="str">
        <f t="shared" si="80"/>
        <v/>
      </c>
      <c r="L513" s="43" t="str">
        <f>IF(G410="","",G410)</f>
        <v/>
      </c>
      <c r="M513" s="44" t="str">
        <f t="shared" si="67"/>
        <v/>
      </c>
      <c r="N513" s="45" t="str">
        <f t="shared" si="68"/>
        <v/>
      </c>
      <c r="O513" s="43" t="str">
        <f t="shared" si="81"/>
        <v/>
      </c>
      <c r="P513" s="45" t="str">
        <f t="shared" si="69"/>
        <v/>
      </c>
      <c r="Q513" s="47" t="str">
        <f>IF(H410="","",H410)</f>
        <v/>
      </c>
      <c r="R513" s="40" t="str">
        <f t="shared" si="70"/>
        <v/>
      </c>
      <c r="S513" s="61" t="str">
        <f>IF(I410="","",I410)</f>
        <v/>
      </c>
      <c r="T513" s="42" t="str">
        <f t="shared" si="71"/>
        <v/>
      </c>
      <c r="U513" s="42" t="str">
        <f t="shared" si="72"/>
        <v/>
      </c>
      <c r="V513" s="61" t="str">
        <f t="shared" si="73"/>
        <v/>
      </c>
      <c r="W513" s="42" t="str">
        <f t="shared" si="74"/>
        <v/>
      </c>
      <c r="X513" s="41" t="str">
        <f>IF(J410="","",J410)</f>
        <v/>
      </c>
      <c r="Y513" s="40" t="str">
        <f t="shared" si="75"/>
        <v/>
      </c>
      <c r="Z513" s="47" t="str">
        <f>IF(K410="","",K410)</f>
        <v/>
      </c>
      <c r="AA513" s="47" t="str">
        <f t="shared" si="76"/>
        <v/>
      </c>
      <c r="AB513" s="47" t="str">
        <f t="shared" si="77"/>
        <v/>
      </c>
      <c r="AC513" s="47" t="str">
        <f t="shared" si="82"/>
        <v/>
      </c>
      <c r="AD513" s="47" t="str">
        <f t="shared" si="78"/>
        <v/>
      </c>
      <c r="AE513" s="47" t="str">
        <f>IF(L410="","",L410)</f>
        <v/>
      </c>
      <c r="AF513" s="40" t="str">
        <f>IF(Z513&lt;&gt;"",IF(AG282="",""")],","), ac("),"")</f>
        <v/>
      </c>
    </row>
    <row r="514" spans="1:32" ht="24.75" hidden="1" x14ac:dyDescent="0.4">
      <c r="A514" s="9" t="str">
        <f t="shared" si="66"/>
        <v>/* 34 */   [ac("", "cp0","")],</v>
      </c>
      <c r="B514" s="9">
        <f t="shared" si="83"/>
        <v>34</v>
      </c>
      <c r="C514" s="9" t="str">
        <f>IF(D514="","",IF(F514="",A514,_xlfn.CONCAT("/* ",B514,"*/      ",E514:AF514)))</f>
        <v/>
      </c>
      <c r="D514" s="39" t="str">
        <f>IF(D411="","","hay letras")</f>
        <v/>
      </c>
      <c r="E514" s="60" t="s">
        <v>52</v>
      </c>
      <c r="F514" s="63" t="str">
        <f>IF(E411="","",E411)</f>
        <v/>
      </c>
      <c r="G514" s="64" t="s">
        <v>53</v>
      </c>
      <c r="H514" s="63" t="str">
        <f t="shared" si="79"/>
        <v/>
      </c>
      <c r="I514" s="64" t="s">
        <v>54</v>
      </c>
      <c r="J514" s="48" t="str">
        <f>IF(F411="","",F411)</f>
        <v/>
      </c>
      <c r="K514" s="40" t="str">
        <f t="shared" si="80"/>
        <v/>
      </c>
      <c r="L514" s="50" t="str">
        <f>IF(G411="","",G411)</f>
        <v/>
      </c>
      <c r="M514" s="51" t="str">
        <f t="shared" si="67"/>
        <v/>
      </c>
      <c r="N514" s="52" t="str">
        <f t="shared" si="68"/>
        <v/>
      </c>
      <c r="O514" s="50" t="str">
        <f t="shared" si="81"/>
        <v/>
      </c>
      <c r="P514" s="52" t="str">
        <f t="shared" si="69"/>
        <v/>
      </c>
      <c r="Q514" s="54" t="str">
        <f>IF(H411="","",H411)</f>
        <v/>
      </c>
      <c r="R514" s="40" t="str">
        <f t="shared" si="70"/>
        <v/>
      </c>
      <c r="S514" s="63" t="str">
        <f>IF(I411="","",I411)</f>
        <v/>
      </c>
      <c r="T514" s="64" t="str">
        <f t="shared" si="71"/>
        <v/>
      </c>
      <c r="U514" s="64" t="str">
        <f t="shared" si="72"/>
        <v/>
      </c>
      <c r="V514" s="63" t="str">
        <f t="shared" si="73"/>
        <v/>
      </c>
      <c r="W514" s="64" t="str">
        <f t="shared" si="74"/>
        <v/>
      </c>
      <c r="X514" s="48" t="str">
        <f>IF(J411="","",J411)</f>
        <v/>
      </c>
      <c r="Y514" s="40" t="str">
        <f t="shared" si="75"/>
        <v/>
      </c>
      <c r="Z514" s="54" t="str">
        <f>IF(K411="","",K411)</f>
        <v/>
      </c>
      <c r="AA514" s="54" t="str">
        <f t="shared" si="76"/>
        <v/>
      </c>
      <c r="AB514" s="54" t="str">
        <f t="shared" si="77"/>
        <v/>
      </c>
      <c r="AC514" s="54" t="str">
        <f t="shared" si="82"/>
        <v/>
      </c>
      <c r="AD514" s="54" t="str">
        <f t="shared" si="78"/>
        <v/>
      </c>
      <c r="AE514" s="54" t="str">
        <f>IF(L411="","",L411)</f>
        <v/>
      </c>
      <c r="AF514" s="40" t="str">
        <f>IF(Z514&lt;&gt;"",IF(AG283="",""")],","), ac("),"")</f>
        <v/>
      </c>
    </row>
    <row r="515" spans="1:32" ht="24.75" hidden="1" x14ac:dyDescent="0.4">
      <c r="A515" s="9" t="str">
        <f t="shared" si="66"/>
        <v>/* 35 */   [ac("", "cp0","")],</v>
      </c>
      <c r="B515" s="9">
        <f t="shared" si="83"/>
        <v>35</v>
      </c>
      <c r="C515" s="9" t="str">
        <f>IF(D515="","",IF(F515="",A515,_xlfn.CONCAT("/* ",B515,"*/      ",E515:AF515)))</f>
        <v/>
      </c>
      <c r="D515" s="39" t="str">
        <f>IF(D412="","","hay letras")</f>
        <v/>
      </c>
      <c r="E515" s="60" t="s">
        <v>52</v>
      </c>
      <c r="F515" s="61" t="str">
        <f>IF(E412="","",E412)</f>
        <v/>
      </c>
      <c r="G515" s="42" t="s">
        <v>53</v>
      </c>
      <c r="H515" s="61" t="str">
        <f t="shared" si="79"/>
        <v/>
      </c>
      <c r="I515" s="42" t="s">
        <v>54</v>
      </c>
      <c r="J515" s="41" t="str">
        <f>IF(F412="","",F412)</f>
        <v/>
      </c>
      <c r="K515" s="40" t="str">
        <f t="shared" si="80"/>
        <v/>
      </c>
      <c r="L515" s="43" t="str">
        <f>IF(G412="","",G412)</f>
        <v/>
      </c>
      <c r="M515" s="44" t="str">
        <f t="shared" si="67"/>
        <v/>
      </c>
      <c r="N515" s="45" t="str">
        <f t="shared" si="68"/>
        <v/>
      </c>
      <c r="O515" s="43" t="str">
        <f t="shared" si="81"/>
        <v/>
      </c>
      <c r="P515" s="45" t="str">
        <f t="shared" si="69"/>
        <v/>
      </c>
      <c r="Q515" s="47" t="str">
        <f>IF(H412="","",H412)</f>
        <v/>
      </c>
      <c r="R515" s="40" t="str">
        <f t="shared" si="70"/>
        <v/>
      </c>
      <c r="S515" s="61" t="str">
        <f>IF(I412="","",I412)</f>
        <v/>
      </c>
      <c r="T515" s="42" t="str">
        <f t="shared" si="71"/>
        <v/>
      </c>
      <c r="U515" s="42" t="str">
        <f t="shared" si="72"/>
        <v/>
      </c>
      <c r="V515" s="61" t="str">
        <f t="shared" si="73"/>
        <v/>
      </c>
      <c r="W515" s="42" t="str">
        <f t="shared" si="74"/>
        <v/>
      </c>
      <c r="X515" s="41" t="str">
        <f>IF(J412="","",J412)</f>
        <v/>
      </c>
      <c r="Y515" s="40" t="str">
        <f t="shared" si="75"/>
        <v/>
      </c>
      <c r="Z515" s="47" t="str">
        <f>IF(K412="","",K412)</f>
        <v/>
      </c>
      <c r="AA515" s="47" t="str">
        <f t="shared" si="76"/>
        <v/>
      </c>
      <c r="AB515" s="47" t="str">
        <f t="shared" si="77"/>
        <v/>
      </c>
      <c r="AC515" s="47" t="str">
        <f t="shared" si="82"/>
        <v/>
      </c>
      <c r="AD515" s="47" t="str">
        <f t="shared" si="78"/>
        <v/>
      </c>
      <c r="AE515" s="47" t="str">
        <f>IF(L412="","",L412)</f>
        <v/>
      </c>
      <c r="AF515" s="40" t="str">
        <f>IF(Z515&lt;&gt;"",IF(AG284="",""")],","), ac("),"")</f>
        <v/>
      </c>
    </row>
    <row r="516" spans="1:32" ht="24.75" hidden="1" x14ac:dyDescent="0.4">
      <c r="A516" s="9" t="str">
        <f t="shared" si="66"/>
        <v>/* 36 */   [ac("", "cp0","")],</v>
      </c>
      <c r="B516" s="9">
        <f t="shared" si="83"/>
        <v>36</v>
      </c>
      <c r="C516" s="9" t="str">
        <f>IF(D516="","",IF(F516="",A516,_xlfn.CONCAT("/* ",B516,"*/      ",E516:AF516)))</f>
        <v/>
      </c>
      <c r="D516" s="39" t="str">
        <f>IF(D413="","","hay letras")</f>
        <v/>
      </c>
      <c r="E516" s="60" t="s">
        <v>52</v>
      </c>
      <c r="F516" s="63" t="str">
        <f>IF(E413="","",E413)</f>
        <v/>
      </c>
      <c r="G516" s="64" t="s">
        <v>53</v>
      </c>
      <c r="H516" s="63" t="str">
        <f t="shared" si="79"/>
        <v/>
      </c>
      <c r="I516" s="64" t="s">
        <v>54</v>
      </c>
      <c r="J516" s="48" t="str">
        <f>IF(F413="","",F413)</f>
        <v/>
      </c>
      <c r="K516" s="40" t="str">
        <f t="shared" si="80"/>
        <v/>
      </c>
      <c r="L516" s="50" t="str">
        <f>IF(G413="","",G413)</f>
        <v/>
      </c>
      <c r="M516" s="51" t="str">
        <f t="shared" si="67"/>
        <v/>
      </c>
      <c r="N516" s="52" t="str">
        <f t="shared" si="68"/>
        <v/>
      </c>
      <c r="O516" s="50" t="str">
        <f t="shared" si="81"/>
        <v/>
      </c>
      <c r="P516" s="52" t="str">
        <f t="shared" si="69"/>
        <v/>
      </c>
      <c r="Q516" s="54" t="str">
        <f>IF(H413="","",H413)</f>
        <v/>
      </c>
      <c r="R516" s="40" t="str">
        <f t="shared" si="70"/>
        <v/>
      </c>
      <c r="S516" s="63" t="str">
        <f>IF(I413="","",I413)</f>
        <v/>
      </c>
      <c r="T516" s="64" t="str">
        <f t="shared" si="71"/>
        <v/>
      </c>
      <c r="U516" s="64" t="str">
        <f t="shared" si="72"/>
        <v/>
      </c>
      <c r="V516" s="63" t="str">
        <f t="shared" si="73"/>
        <v/>
      </c>
      <c r="W516" s="64" t="str">
        <f t="shared" si="74"/>
        <v/>
      </c>
      <c r="X516" s="48" t="str">
        <f>IF(J413="","",J413)</f>
        <v/>
      </c>
      <c r="Y516" s="40" t="str">
        <f t="shared" si="75"/>
        <v/>
      </c>
      <c r="Z516" s="54" t="str">
        <f>IF(K413="","",K413)</f>
        <v/>
      </c>
      <c r="AA516" s="54" t="str">
        <f t="shared" si="76"/>
        <v/>
      </c>
      <c r="AB516" s="54" t="str">
        <f t="shared" si="77"/>
        <v/>
      </c>
      <c r="AC516" s="54" t="str">
        <f t="shared" si="82"/>
        <v/>
      </c>
      <c r="AD516" s="54" t="str">
        <f t="shared" si="78"/>
        <v/>
      </c>
      <c r="AE516" s="54" t="str">
        <f>IF(L413="","",L413)</f>
        <v/>
      </c>
      <c r="AF516" s="40" t="str">
        <f>IF(Z516&lt;&gt;"",IF(AG285="",""")],","), ac("),"")</f>
        <v/>
      </c>
    </row>
    <row r="517" spans="1:32" ht="24.75" hidden="1" x14ac:dyDescent="0.4">
      <c r="A517" s="9" t="str">
        <f t="shared" si="66"/>
        <v>/* 37 */   [ac("", "cp0","")],</v>
      </c>
      <c r="B517" s="9">
        <f t="shared" si="83"/>
        <v>37</v>
      </c>
      <c r="C517" s="9" t="str">
        <f>IF(D517="","",IF(F517="",A517,_xlfn.CONCAT("/* ",B517,"*/      ",E517:AF517)))</f>
        <v/>
      </c>
      <c r="D517" s="39" t="str">
        <f>IF(D414="","","hay letras")</f>
        <v/>
      </c>
      <c r="E517" s="60" t="s">
        <v>52</v>
      </c>
      <c r="F517" s="61" t="str">
        <f>IF(E414="","",E414)</f>
        <v/>
      </c>
      <c r="G517" s="42" t="s">
        <v>53</v>
      </c>
      <c r="H517" s="61" t="str">
        <f t="shared" si="79"/>
        <v/>
      </c>
      <c r="I517" s="42" t="s">
        <v>54</v>
      </c>
      <c r="J517" s="41" t="str">
        <f>IF(F414="","",F414)</f>
        <v/>
      </c>
      <c r="K517" s="40" t="str">
        <f t="shared" si="80"/>
        <v/>
      </c>
      <c r="L517" s="43" t="str">
        <f>IF(G414="","",G414)</f>
        <v/>
      </c>
      <c r="M517" s="44" t="str">
        <f t="shared" si="67"/>
        <v/>
      </c>
      <c r="N517" s="45" t="str">
        <f t="shared" si="68"/>
        <v/>
      </c>
      <c r="O517" s="43" t="str">
        <f t="shared" si="81"/>
        <v/>
      </c>
      <c r="P517" s="45" t="str">
        <f t="shared" si="69"/>
        <v/>
      </c>
      <c r="Q517" s="47" t="str">
        <f>IF(H414="","",H414)</f>
        <v/>
      </c>
      <c r="R517" s="40" t="str">
        <f t="shared" si="70"/>
        <v/>
      </c>
      <c r="S517" s="61" t="str">
        <f>IF(I414="","",I414)</f>
        <v/>
      </c>
      <c r="T517" s="42" t="str">
        <f t="shared" si="71"/>
        <v/>
      </c>
      <c r="U517" s="42" t="str">
        <f t="shared" si="72"/>
        <v/>
      </c>
      <c r="V517" s="61" t="str">
        <f t="shared" si="73"/>
        <v/>
      </c>
      <c r="W517" s="42" t="str">
        <f t="shared" si="74"/>
        <v/>
      </c>
      <c r="X517" s="41" t="str">
        <f>IF(J414="","",J414)</f>
        <v/>
      </c>
      <c r="Y517" s="40" t="str">
        <f t="shared" si="75"/>
        <v/>
      </c>
      <c r="Z517" s="47" t="str">
        <f>IF(K414="","",K414)</f>
        <v/>
      </c>
      <c r="AA517" s="47" t="str">
        <f t="shared" si="76"/>
        <v/>
      </c>
      <c r="AB517" s="47" t="str">
        <f t="shared" si="77"/>
        <v/>
      </c>
      <c r="AC517" s="47" t="str">
        <f t="shared" si="82"/>
        <v/>
      </c>
      <c r="AD517" s="47" t="str">
        <f t="shared" si="78"/>
        <v/>
      </c>
      <c r="AE517" s="47" t="str">
        <f>IF(L414="","",L414)</f>
        <v/>
      </c>
      <c r="AF517" s="40" t="str">
        <f>IF(Z517&lt;&gt;"",IF(AG286="",""")],","), ac("),"")</f>
        <v/>
      </c>
    </row>
    <row r="518" spans="1:32" ht="24.75" hidden="1" x14ac:dyDescent="0.4">
      <c r="A518" s="9" t="str">
        <f t="shared" si="66"/>
        <v>/* 38 */   [ac("", "cp0","")],</v>
      </c>
      <c r="B518" s="9">
        <f t="shared" si="83"/>
        <v>38</v>
      </c>
      <c r="C518" s="9" t="str">
        <f>IF(D518="","",IF(F518="",A518,_xlfn.CONCAT("/* ",B518,"*/      ",E518:AF518)))</f>
        <v/>
      </c>
      <c r="D518" s="39" t="str">
        <f>IF(D415="","","hay letras")</f>
        <v/>
      </c>
      <c r="E518" s="60" t="s">
        <v>52</v>
      </c>
      <c r="F518" s="63" t="str">
        <f>IF(E415="","",E415)</f>
        <v/>
      </c>
      <c r="G518" s="64" t="s">
        <v>53</v>
      </c>
      <c r="H518" s="63" t="str">
        <f t="shared" si="79"/>
        <v/>
      </c>
      <c r="I518" s="64" t="s">
        <v>54</v>
      </c>
      <c r="J518" s="48" t="str">
        <f>IF(F415="","",F415)</f>
        <v/>
      </c>
      <c r="K518" s="40" t="str">
        <f t="shared" si="80"/>
        <v/>
      </c>
      <c r="L518" s="50" t="str">
        <f>IF(G415="","",G415)</f>
        <v/>
      </c>
      <c r="M518" s="51" t="str">
        <f t="shared" si="67"/>
        <v/>
      </c>
      <c r="N518" s="52" t="str">
        <f t="shared" si="68"/>
        <v/>
      </c>
      <c r="O518" s="50" t="str">
        <f t="shared" si="81"/>
        <v/>
      </c>
      <c r="P518" s="52" t="str">
        <f t="shared" si="69"/>
        <v/>
      </c>
      <c r="Q518" s="54" t="str">
        <f>IF(H415="","",H415)</f>
        <v/>
      </c>
      <c r="R518" s="40" t="str">
        <f t="shared" si="70"/>
        <v/>
      </c>
      <c r="S518" s="63" t="str">
        <f>IF(I415="","",I415)</f>
        <v/>
      </c>
      <c r="T518" s="64" t="str">
        <f t="shared" si="71"/>
        <v/>
      </c>
      <c r="U518" s="64" t="str">
        <f t="shared" si="72"/>
        <v/>
      </c>
      <c r="V518" s="63" t="str">
        <f t="shared" si="73"/>
        <v/>
      </c>
      <c r="W518" s="64" t="str">
        <f t="shared" si="74"/>
        <v/>
      </c>
      <c r="X518" s="48" t="str">
        <f>IF(J415="","",J415)</f>
        <v/>
      </c>
      <c r="Y518" s="40" t="str">
        <f t="shared" si="75"/>
        <v/>
      </c>
      <c r="Z518" s="54" t="str">
        <f>IF(K415="","",K415)</f>
        <v/>
      </c>
      <c r="AA518" s="54" t="str">
        <f t="shared" si="76"/>
        <v/>
      </c>
      <c r="AB518" s="54" t="str">
        <f t="shared" si="77"/>
        <v/>
      </c>
      <c r="AC518" s="54" t="str">
        <f t="shared" si="82"/>
        <v/>
      </c>
      <c r="AD518" s="54" t="str">
        <f t="shared" si="78"/>
        <v/>
      </c>
      <c r="AE518" s="54" t="str">
        <f>IF(L415="","",L415)</f>
        <v/>
      </c>
      <c r="AF518" s="40" t="str">
        <f>IF(Z518&lt;&gt;"",IF(AG287="",""")],","), ac("),"")</f>
        <v/>
      </c>
    </row>
    <row r="519" spans="1:32" ht="24.75" hidden="1" x14ac:dyDescent="0.4">
      <c r="A519" s="9" t="str">
        <f t="shared" si="66"/>
        <v>/* 39 */   [ac("", "cp0","")],</v>
      </c>
      <c r="B519" s="9">
        <f t="shared" si="83"/>
        <v>39</v>
      </c>
      <c r="C519" s="9" t="str">
        <f>IF(D519="","",IF(F519="",A519,_xlfn.CONCAT("/* ",B519,"*/      ",E519:AF519)))</f>
        <v/>
      </c>
      <c r="D519" s="39" t="str">
        <f>IF(D416="","","hay letras")</f>
        <v/>
      </c>
      <c r="E519" s="60" t="s">
        <v>52</v>
      </c>
      <c r="F519" s="61" t="str">
        <f>IF(E416="","",E416)</f>
        <v/>
      </c>
      <c r="G519" s="42" t="s">
        <v>53</v>
      </c>
      <c r="H519" s="61" t="str">
        <f t="shared" si="79"/>
        <v/>
      </c>
      <c r="I519" s="42" t="s">
        <v>54</v>
      </c>
      <c r="J519" s="41" t="str">
        <f>IF(F416="","",F416)</f>
        <v/>
      </c>
      <c r="K519" s="40" t="str">
        <f t="shared" si="80"/>
        <v/>
      </c>
      <c r="L519" s="43" t="str">
        <f>IF(G416="","",G416)</f>
        <v/>
      </c>
      <c r="M519" s="44" t="str">
        <f t="shared" si="67"/>
        <v/>
      </c>
      <c r="N519" s="45" t="str">
        <f t="shared" si="68"/>
        <v/>
      </c>
      <c r="O519" s="43" t="str">
        <f t="shared" si="81"/>
        <v/>
      </c>
      <c r="P519" s="45" t="str">
        <f t="shared" si="69"/>
        <v/>
      </c>
      <c r="Q519" s="47" t="str">
        <f>IF(H416="","",H416)</f>
        <v/>
      </c>
      <c r="R519" s="40" t="str">
        <f t="shared" si="70"/>
        <v/>
      </c>
      <c r="S519" s="61" t="str">
        <f>IF(I416="","",I416)</f>
        <v/>
      </c>
      <c r="T519" s="42" t="str">
        <f t="shared" si="71"/>
        <v/>
      </c>
      <c r="U519" s="42" t="str">
        <f t="shared" si="72"/>
        <v/>
      </c>
      <c r="V519" s="61" t="str">
        <f t="shared" si="73"/>
        <v/>
      </c>
      <c r="W519" s="42" t="str">
        <f t="shared" si="74"/>
        <v/>
      </c>
      <c r="X519" s="41" t="str">
        <f>IF(J416="","",J416)</f>
        <v/>
      </c>
      <c r="Y519" s="40" t="str">
        <f t="shared" si="75"/>
        <v/>
      </c>
      <c r="Z519" s="47" t="str">
        <f>IF(K416="","",K416)</f>
        <v/>
      </c>
      <c r="AA519" s="47" t="str">
        <f t="shared" si="76"/>
        <v/>
      </c>
      <c r="AB519" s="47" t="str">
        <f t="shared" si="77"/>
        <v/>
      </c>
      <c r="AC519" s="47" t="str">
        <f t="shared" si="82"/>
        <v/>
      </c>
      <c r="AD519" s="47" t="str">
        <f t="shared" si="78"/>
        <v/>
      </c>
      <c r="AE519" s="47" t="str">
        <f>IF(L416="","",L416)</f>
        <v/>
      </c>
      <c r="AF519" s="40" t="str">
        <f>IF(Z519&lt;&gt;"",IF(AG288="",""")],","), ac("),"")</f>
        <v/>
      </c>
    </row>
    <row r="520" spans="1:32" ht="24.75" hidden="1" x14ac:dyDescent="0.4">
      <c r="A520" s="9" t="str">
        <f t="shared" si="66"/>
        <v>/* 40 */   [ac("", "cp0","")],</v>
      </c>
      <c r="B520" s="9">
        <f t="shared" si="83"/>
        <v>40</v>
      </c>
      <c r="C520" s="9" t="str">
        <f>IF(D520="","",IF(F520="",A520,_xlfn.CONCAT("/* ",B520,"*/      ",E520:AF520)))</f>
        <v/>
      </c>
      <c r="D520" s="39" t="str">
        <f>IF(D417="","","hay letras")</f>
        <v/>
      </c>
      <c r="E520" s="60" t="s">
        <v>52</v>
      </c>
      <c r="F520" s="63" t="str">
        <f>IF(E417="","",E417)</f>
        <v/>
      </c>
      <c r="G520" s="64" t="s">
        <v>53</v>
      </c>
      <c r="H520" s="63" t="str">
        <f t="shared" si="79"/>
        <v/>
      </c>
      <c r="I520" s="64" t="s">
        <v>54</v>
      </c>
      <c r="J520" s="48" t="str">
        <f>IF(F417="","",F417)</f>
        <v/>
      </c>
      <c r="K520" s="40" t="str">
        <f t="shared" si="80"/>
        <v/>
      </c>
      <c r="L520" s="50" t="str">
        <f>IF(G417="","",G417)</f>
        <v/>
      </c>
      <c r="M520" s="51" t="str">
        <f t="shared" si="67"/>
        <v/>
      </c>
      <c r="N520" s="52" t="str">
        <f t="shared" si="68"/>
        <v/>
      </c>
      <c r="O520" s="50" t="str">
        <f t="shared" si="81"/>
        <v/>
      </c>
      <c r="P520" s="52" t="str">
        <f t="shared" si="69"/>
        <v/>
      </c>
      <c r="Q520" s="54" t="str">
        <f>IF(H417="","",H417)</f>
        <v/>
      </c>
      <c r="R520" s="40" t="str">
        <f t="shared" si="70"/>
        <v/>
      </c>
      <c r="S520" s="63" t="str">
        <f>IF(I417="","",I417)</f>
        <v/>
      </c>
      <c r="T520" s="64" t="str">
        <f t="shared" si="71"/>
        <v/>
      </c>
      <c r="U520" s="64" t="str">
        <f t="shared" si="72"/>
        <v/>
      </c>
      <c r="V520" s="63" t="str">
        <f t="shared" si="73"/>
        <v/>
      </c>
      <c r="W520" s="64" t="str">
        <f t="shared" si="74"/>
        <v/>
      </c>
      <c r="X520" s="48" t="str">
        <f>IF(J417="","",J417)</f>
        <v/>
      </c>
      <c r="Y520" s="40" t="str">
        <f t="shared" si="75"/>
        <v/>
      </c>
      <c r="Z520" s="54" t="str">
        <f>IF(K417="","",K417)</f>
        <v/>
      </c>
      <c r="AA520" s="54" t="str">
        <f t="shared" si="76"/>
        <v/>
      </c>
      <c r="AB520" s="54" t="str">
        <f t="shared" si="77"/>
        <v/>
      </c>
      <c r="AC520" s="54" t="str">
        <f t="shared" si="82"/>
        <v/>
      </c>
      <c r="AD520" s="54" t="str">
        <f t="shared" si="78"/>
        <v/>
      </c>
      <c r="AE520" s="54" t="str">
        <f>IF(L417="","",L417)</f>
        <v/>
      </c>
      <c r="AF520" s="40" t="str">
        <f>IF(Z520&lt;&gt;"",IF(AG289="",""")],","), ac("),"")</f>
        <v/>
      </c>
    </row>
    <row r="521" spans="1:32" ht="24.75" hidden="1" x14ac:dyDescent="0.4">
      <c r="A521" s="9" t="str">
        <f t="shared" si="66"/>
        <v>/* 41 */   [ac("", "cp0","")],</v>
      </c>
      <c r="B521" s="9">
        <f t="shared" si="83"/>
        <v>41</v>
      </c>
      <c r="C521" s="9" t="str">
        <f>IF(D521="","",IF(F521="",A521,_xlfn.CONCAT("/* ",B521,"*/      ",E521:AF521)))</f>
        <v/>
      </c>
      <c r="D521" s="39" t="str">
        <f>IF(D418="","","hay letras")</f>
        <v/>
      </c>
      <c r="E521" s="60" t="s">
        <v>52</v>
      </c>
      <c r="F521" s="61" t="str">
        <f>IF(E418="","",E418)</f>
        <v/>
      </c>
      <c r="G521" s="42" t="s">
        <v>53</v>
      </c>
      <c r="H521" s="61" t="str">
        <f t="shared" ref="H521:H526" si="84">IF(F521="","",14)</f>
        <v/>
      </c>
      <c r="I521" s="42" t="s">
        <v>54</v>
      </c>
      <c r="J521" s="41" t="str">
        <f>IF(F418="","",F418)</f>
        <v/>
      </c>
      <c r="K521" s="40" t="str">
        <f t="shared" ref="K521:K526" si="85">IF(F521&lt;&gt;"",IF(L521="",""")],","""), ac("""),"")</f>
        <v/>
      </c>
      <c r="L521" s="43" t="str">
        <f>IF(G418="","",G418)</f>
        <v/>
      </c>
      <c r="M521" s="44" t="str">
        <f t="shared" ref="M521:M526" si="86">IF(L521="","",""",""")</f>
        <v/>
      </c>
      <c r="N521" s="45" t="str">
        <f t="shared" ref="N521:N526" si="87">IF(L521="","","cp")</f>
        <v/>
      </c>
      <c r="O521" s="43" t="str">
        <f t="shared" ref="O521:O526" si="88">IF(L521="","",90)</f>
        <v/>
      </c>
      <c r="P521" s="45" t="str">
        <f t="shared" ref="P521:P526" si="89">IF(L521="","",""",""")</f>
        <v/>
      </c>
      <c r="Q521" s="47" t="str">
        <f>IF(H418="","",H418)</f>
        <v/>
      </c>
      <c r="R521" s="40" t="str">
        <f t="shared" ref="R521:R526" si="90">IF(L521&lt;&gt;"",IF(S521="",""")],","""), ac("""),"")</f>
        <v/>
      </c>
      <c r="S521" s="61" t="str">
        <f>IF(I418="","",I418)</f>
        <v/>
      </c>
      <c r="T521" s="42" t="str">
        <f t="shared" ref="T521:T526" si="91">IF(S521="","",""",""")</f>
        <v/>
      </c>
      <c r="U521" s="42" t="str">
        <f t="shared" ref="U521:U526" si="92">IF(S521="","","cp")</f>
        <v/>
      </c>
      <c r="V521" s="61" t="str">
        <f t="shared" ref="V521:V526" si="93">IF(S521="","",150)</f>
        <v/>
      </c>
      <c r="W521" s="42" t="str">
        <f t="shared" ref="W521:W526" si="94">IF(S521="","",""",""")</f>
        <v/>
      </c>
      <c r="X521" s="41" t="str">
        <f>IF(J418="","",J418)</f>
        <v/>
      </c>
      <c r="Y521" s="40" t="str">
        <f t="shared" ref="Y521:Y526" si="95">IF(S521&lt;&gt;"",IF(Z521="",""")],","""), ac("""),"")</f>
        <v/>
      </c>
      <c r="Z521" s="47" t="str">
        <f>IF(K418="","",K418)</f>
        <v/>
      </c>
      <c r="AA521" s="47" t="str">
        <f t="shared" ref="AA521:AA526" si="96">IF(Z521="","",""",""")</f>
        <v/>
      </c>
      <c r="AB521" s="47" t="str">
        <f t="shared" ref="AB521:AB526" si="97">IF(Z521="","","cp")</f>
        <v/>
      </c>
      <c r="AC521" s="47" t="str">
        <f t="shared" ref="AC521:AC526" si="98">IF(Z521="","",250)</f>
        <v/>
      </c>
      <c r="AD521" s="47" t="str">
        <f t="shared" ref="AD521:AD526" si="99">IF(Z521="","",""",""")</f>
        <v/>
      </c>
      <c r="AE521" s="47" t="str">
        <f>IF(L418="","",L418)</f>
        <v/>
      </c>
      <c r="AF521" s="40" t="str">
        <f>IF(Z521&lt;&gt;"",IF(AG290="",""")],","), ac("),"")</f>
        <v/>
      </c>
    </row>
    <row r="522" spans="1:32" ht="24.75" hidden="1" x14ac:dyDescent="0.4">
      <c r="A522" s="9" t="str">
        <f t="shared" si="66"/>
        <v>/* 42 */   [ac("", "cp0","")],</v>
      </c>
      <c r="B522" s="9">
        <f t="shared" si="83"/>
        <v>42</v>
      </c>
      <c r="C522" s="9" t="str">
        <f>IF(D522="","",IF(F522="",A522,_xlfn.CONCAT("/* ",B522,"*/      ",E522:AF522)))</f>
        <v/>
      </c>
      <c r="D522" s="39" t="str">
        <f t="shared" ref="D522:D581" si="100">IF(D419="","","hay letras")</f>
        <v/>
      </c>
      <c r="E522" s="60" t="s">
        <v>52</v>
      </c>
      <c r="F522" s="63" t="str">
        <f>IF(E419="","",E419)</f>
        <v/>
      </c>
      <c r="G522" s="64" t="s">
        <v>53</v>
      </c>
      <c r="H522" s="63" t="str">
        <f t="shared" si="84"/>
        <v/>
      </c>
      <c r="I522" s="64" t="s">
        <v>54</v>
      </c>
      <c r="J522" s="48" t="str">
        <f>IF(F419="","",F419)</f>
        <v/>
      </c>
      <c r="K522" s="40" t="str">
        <f t="shared" si="85"/>
        <v/>
      </c>
      <c r="L522" s="50" t="str">
        <f>IF(G419="","",G419)</f>
        <v/>
      </c>
      <c r="M522" s="51" t="str">
        <f t="shared" si="86"/>
        <v/>
      </c>
      <c r="N522" s="52" t="str">
        <f t="shared" si="87"/>
        <v/>
      </c>
      <c r="O522" s="50" t="str">
        <f t="shared" si="88"/>
        <v/>
      </c>
      <c r="P522" s="52" t="str">
        <f t="shared" si="89"/>
        <v/>
      </c>
      <c r="Q522" s="54" t="str">
        <f>IF(H419="","",H419)</f>
        <v/>
      </c>
      <c r="R522" s="40" t="str">
        <f t="shared" si="90"/>
        <v/>
      </c>
      <c r="S522" s="63" t="str">
        <f>IF(I419="","",I419)</f>
        <v/>
      </c>
      <c r="T522" s="64" t="str">
        <f t="shared" si="91"/>
        <v/>
      </c>
      <c r="U522" s="64" t="str">
        <f t="shared" si="92"/>
        <v/>
      </c>
      <c r="V522" s="63" t="str">
        <f t="shared" si="93"/>
        <v/>
      </c>
      <c r="W522" s="64" t="str">
        <f t="shared" si="94"/>
        <v/>
      </c>
      <c r="X522" s="48" t="str">
        <f>IF(J419="","",J419)</f>
        <v/>
      </c>
      <c r="Y522" s="40" t="str">
        <f t="shared" si="95"/>
        <v/>
      </c>
      <c r="Z522" s="54" t="str">
        <f>IF(K419="","",K419)</f>
        <v/>
      </c>
      <c r="AA522" s="54" t="str">
        <f t="shared" si="96"/>
        <v/>
      </c>
      <c r="AB522" s="54" t="str">
        <f t="shared" si="97"/>
        <v/>
      </c>
      <c r="AC522" s="54" t="str">
        <f t="shared" si="98"/>
        <v/>
      </c>
      <c r="AD522" s="54" t="str">
        <f t="shared" si="99"/>
        <v/>
      </c>
      <c r="AE522" s="54" t="str">
        <f>IF(L419="","",L419)</f>
        <v/>
      </c>
      <c r="AF522" s="40" t="str">
        <f>IF(Z522&lt;&gt;"",IF(AG291="",""")],","), ac("),"")</f>
        <v/>
      </c>
    </row>
    <row r="523" spans="1:32" ht="24.75" hidden="1" x14ac:dyDescent="0.4">
      <c r="A523" s="9" t="str">
        <f t="shared" si="66"/>
        <v>/* 43 */   [ac("", "cp0","")],</v>
      </c>
      <c r="B523" s="9">
        <f t="shared" si="83"/>
        <v>43</v>
      </c>
      <c r="C523" s="9" t="str">
        <f t="shared" ref="C523:C581" si="101">IF(D523="","",IF(F523="",A523,_xlfn.CONCAT("/* ",B523,"*/      ",E523:AF523)))</f>
        <v/>
      </c>
      <c r="D523" s="39" t="str">
        <f t="shared" si="100"/>
        <v/>
      </c>
      <c r="E523" s="60" t="s">
        <v>52</v>
      </c>
      <c r="F523" s="61" t="str">
        <f>IF(E420="","",E420)</f>
        <v/>
      </c>
      <c r="G523" s="42" t="s">
        <v>53</v>
      </c>
      <c r="H523" s="61" t="str">
        <f t="shared" si="84"/>
        <v/>
      </c>
      <c r="I523" s="42" t="s">
        <v>54</v>
      </c>
      <c r="J523" s="41" t="str">
        <f>IF(F420="","",F420)</f>
        <v/>
      </c>
      <c r="K523" s="40" t="str">
        <f t="shared" si="85"/>
        <v/>
      </c>
      <c r="L523" s="43" t="str">
        <f>IF(G420="","",G420)</f>
        <v/>
      </c>
      <c r="M523" s="44" t="str">
        <f t="shared" si="86"/>
        <v/>
      </c>
      <c r="N523" s="45" t="str">
        <f t="shared" si="87"/>
        <v/>
      </c>
      <c r="O523" s="43" t="str">
        <f t="shared" si="88"/>
        <v/>
      </c>
      <c r="P523" s="45" t="str">
        <f t="shared" si="89"/>
        <v/>
      </c>
      <c r="Q523" s="47" t="str">
        <f>IF(H420="","",H420)</f>
        <v/>
      </c>
      <c r="R523" s="40" t="str">
        <f t="shared" si="90"/>
        <v/>
      </c>
      <c r="S523" s="61" t="str">
        <f>IF(I420="","",I420)</f>
        <v/>
      </c>
      <c r="T523" s="42" t="str">
        <f t="shared" si="91"/>
        <v/>
      </c>
      <c r="U523" s="42" t="str">
        <f t="shared" si="92"/>
        <v/>
      </c>
      <c r="V523" s="61" t="str">
        <f t="shared" si="93"/>
        <v/>
      </c>
      <c r="W523" s="42" t="str">
        <f t="shared" si="94"/>
        <v/>
      </c>
      <c r="X523" s="41" t="str">
        <f>IF(J420="","",J420)</f>
        <v/>
      </c>
      <c r="Y523" s="40" t="str">
        <f t="shared" si="95"/>
        <v/>
      </c>
      <c r="Z523" s="47" t="str">
        <f>IF(K420="","",K420)</f>
        <v/>
      </c>
      <c r="AA523" s="47" t="str">
        <f t="shared" si="96"/>
        <v/>
      </c>
      <c r="AB523" s="47" t="str">
        <f t="shared" si="97"/>
        <v/>
      </c>
      <c r="AC523" s="47" t="str">
        <f t="shared" si="98"/>
        <v/>
      </c>
      <c r="AD523" s="47" t="str">
        <f t="shared" si="99"/>
        <v/>
      </c>
      <c r="AE523" s="47" t="str">
        <f>IF(L420="","",L420)</f>
        <v/>
      </c>
      <c r="AF523" s="40" t="str">
        <f>IF(Z523&lt;&gt;"",IF(AG292="",""")],","), ac("),"")</f>
        <v/>
      </c>
    </row>
    <row r="524" spans="1:32" ht="24.75" hidden="1" x14ac:dyDescent="0.4">
      <c r="A524" s="9" t="str">
        <f t="shared" si="66"/>
        <v>/* 44 */   [ac("", "cp0","")],</v>
      </c>
      <c r="B524" s="9">
        <f t="shared" si="83"/>
        <v>44</v>
      </c>
      <c r="C524" s="9" t="str">
        <f t="shared" si="101"/>
        <v/>
      </c>
      <c r="D524" s="39" t="str">
        <f t="shared" si="100"/>
        <v/>
      </c>
      <c r="E524" s="60" t="s">
        <v>52</v>
      </c>
      <c r="F524" s="63" t="str">
        <f>IF(E421="","",E421)</f>
        <v/>
      </c>
      <c r="G524" s="64" t="s">
        <v>53</v>
      </c>
      <c r="H524" s="63" t="str">
        <f t="shared" si="84"/>
        <v/>
      </c>
      <c r="I524" s="64" t="s">
        <v>54</v>
      </c>
      <c r="J524" s="48" t="str">
        <f>IF(F421="","",F421)</f>
        <v/>
      </c>
      <c r="K524" s="40" t="str">
        <f t="shared" si="85"/>
        <v/>
      </c>
      <c r="L524" s="50" t="str">
        <f>IF(G421="","",G421)</f>
        <v/>
      </c>
      <c r="M524" s="51" t="str">
        <f t="shared" si="86"/>
        <v/>
      </c>
      <c r="N524" s="52" t="str">
        <f t="shared" si="87"/>
        <v/>
      </c>
      <c r="O524" s="50" t="str">
        <f t="shared" si="88"/>
        <v/>
      </c>
      <c r="P524" s="52" t="str">
        <f t="shared" si="89"/>
        <v/>
      </c>
      <c r="Q524" s="54" t="str">
        <f>IF(H421="","",H421)</f>
        <v/>
      </c>
      <c r="R524" s="40" t="str">
        <f t="shared" si="90"/>
        <v/>
      </c>
      <c r="S524" s="63" t="str">
        <f>IF(I421="","",I421)</f>
        <v/>
      </c>
      <c r="T524" s="64" t="str">
        <f t="shared" si="91"/>
        <v/>
      </c>
      <c r="U524" s="64" t="str">
        <f t="shared" si="92"/>
        <v/>
      </c>
      <c r="V524" s="63" t="str">
        <f t="shared" si="93"/>
        <v/>
      </c>
      <c r="W524" s="64" t="str">
        <f t="shared" si="94"/>
        <v/>
      </c>
      <c r="X524" s="48" t="str">
        <f>IF(J421="","",J421)</f>
        <v/>
      </c>
      <c r="Y524" s="40" t="str">
        <f t="shared" si="95"/>
        <v/>
      </c>
      <c r="Z524" s="54" t="str">
        <f>IF(K421="","",K421)</f>
        <v/>
      </c>
      <c r="AA524" s="54" t="str">
        <f t="shared" si="96"/>
        <v/>
      </c>
      <c r="AB524" s="54" t="str">
        <f t="shared" si="97"/>
        <v/>
      </c>
      <c r="AC524" s="54" t="str">
        <f t="shared" si="98"/>
        <v/>
      </c>
      <c r="AD524" s="54" t="str">
        <f t="shared" si="99"/>
        <v/>
      </c>
      <c r="AE524" s="54" t="str">
        <f>IF(L421="","",L421)</f>
        <v/>
      </c>
      <c r="AF524" s="40" t="str">
        <f>IF(Z524&lt;&gt;"",IF(AG293="",""")],","), ac("),"")</f>
        <v/>
      </c>
    </row>
    <row r="525" spans="1:32" ht="24.75" hidden="1" x14ac:dyDescent="0.4">
      <c r="A525" s="9" t="str">
        <f t="shared" si="66"/>
        <v>/* 45 */   [ac("", "cp0","")],</v>
      </c>
      <c r="B525" s="9">
        <f t="shared" si="83"/>
        <v>45</v>
      </c>
      <c r="C525" s="9" t="str">
        <f t="shared" si="101"/>
        <v/>
      </c>
      <c r="D525" s="39" t="str">
        <f t="shared" si="100"/>
        <v/>
      </c>
      <c r="E525" s="60" t="s">
        <v>52</v>
      </c>
      <c r="F525" s="61" t="str">
        <f>IF(E422="","",E422)</f>
        <v/>
      </c>
      <c r="G525" s="42" t="s">
        <v>53</v>
      </c>
      <c r="H525" s="61" t="str">
        <f t="shared" si="84"/>
        <v/>
      </c>
      <c r="I525" s="42" t="s">
        <v>54</v>
      </c>
      <c r="J525" s="41" t="str">
        <f>IF(F422="","",F422)</f>
        <v/>
      </c>
      <c r="K525" s="40" t="str">
        <f t="shared" si="85"/>
        <v/>
      </c>
      <c r="L525" s="43" t="str">
        <f>IF(G422="","",G422)</f>
        <v/>
      </c>
      <c r="M525" s="44" t="str">
        <f t="shared" si="86"/>
        <v/>
      </c>
      <c r="N525" s="45" t="str">
        <f t="shared" si="87"/>
        <v/>
      </c>
      <c r="O525" s="43" t="str">
        <f t="shared" si="88"/>
        <v/>
      </c>
      <c r="P525" s="45" t="str">
        <f t="shared" si="89"/>
        <v/>
      </c>
      <c r="Q525" s="47" t="str">
        <f>IF(H422="","",H422)</f>
        <v/>
      </c>
      <c r="R525" s="40" t="str">
        <f t="shared" si="90"/>
        <v/>
      </c>
      <c r="S525" s="61" t="str">
        <f>IF(I422="","",I422)</f>
        <v/>
      </c>
      <c r="T525" s="42" t="str">
        <f t="shared" si="91"/>
        <v/>
      </c>
      <c r="U525" s="42" t="str">
        <f t="shared" si="92"/>
        <v/>
      </c>
      <c r="V525" s="61" t="str">
        <f t="shared" si="93"/>
        <v/>
      </c>
      <c r="W525" s="42" t="str">
        <f t="shared" si="94"/>
        <v/>
      </c>
      <c r="X525" s="41" t="str">
        <f>IF(J422="","",J422)</f>
        <v/>
      </c>
      <c r="Y525" s="40" t="str">
        <f t="shared" si="95"/>
        <v/>
      </c>
      <c r="Z525" s="47" t="str">
        <f>IF(K422="","",K422)</f>
        <v/>
      </c>
      <c r="AA525" s="47" t="str">
        <f t="shared" si="96"/>
        <v/>
      </c>
      <c r="AB525" s="47" t="str">
        <f t="shared" si="97"/>
        <v/>
      </c>
      <c r="AC525" s="47" t="str">
        <f t="shared" si="98"/>
        <v/>
      </c>
      <c r="AD525" s="47" t="str">
        <f t="shared" si="99"/>
        <v/>
      </c>
      <c r="AE525" s="47" t="str">
        <f>IF(L422="","",L422)</f>
        <v/>
      </c>
      <c r="AF525" s="40" t="str">
        <f>IF(Z525&lt;&gt;"",IF(AG294="",""")],","), ac("),"")</f>
        <v/>
      </c>
    </row>
    <row r="526" spans="1:32" ht="24.75" hidden="1" x14ac:dyDescent="0.4">
      <c r="A526" s="9" t="str">
        <f t="shared" si="66"/>
        <v>/* 46 */   [ac("", "cp0","")],</v>
      </c>
      <c r="B526" s="9">
        <f t="shared" si="83"/>
        <v>46</v>
      </c>
      <c r="C526" s="9" t="str">
        <f t="shared" si="101"/>
        <v/>
      </c>
      <c r="D526" s="39" t="str">
        <f t="shared" si="100"/>
        <v/>
      </c>
      <c r="E526" s="60" t="s">
        <v>52</v>
      </c>
      <c r="F526" s="63" t="str">
        <f>IF(E423="","",E423)</f>
        <v/>
      </c>
      <c r="G526" s="64" t="s">
        <v>53</v>
      </c>
      <c r="H526" s="63" t="str">
        <f t="shared" si="84"/>
        <v/>
      </c>
      <c r="I526" s="64" t="s">
        <v>54</v>
      </c>
      <c r="J526" s="48" t="str">
        <f>IF(F423="","",F423)</f>
        <v/>
      </c>
      <c r="K526" s="40" t="str">
        <f t="shared" si="85"/>
        <v/>
      </c>
      <c r="L526" s="50" t="str">
        <f>IF(G423="","",G423)</f>
        <v/>
      </c>
      <c r="M526" s="51" t="str">
        <f t="shared" si="86"/>
        <v/>
      </c>
      <c r="N526" s="52" t="str">
        <f t="shared" si="87"/>
        <v/>
      </c>
      <c r="O526" s="50" t="str">
        <f t="shared" si="88"/>
        <v/>
      </c>
      <c r="P526" s="52" t="str">
        <f t="shared" si="89"/>
        <v/>
      </c>
      <c r="Q526" s="54" t="str">
        <f>IF(H423="","",H423)</f>
        <v/>
      </c>
      <c r="R526" s="40" t="str">
        <f t="shared" si="90"/>
        <v/>
      </c>
      <c r="S526" s="63" t="str">
        <f>IF(I423="","",I423)</f>
        <v/>
      </c>
      <c r="T526" s="64" t="str">
        <f t="shared" si="91"/>
        <v/>
      </c>
      <c r="U526" s="64" t="str">
        <f t="shared" si="92"/>
        <v/>
      </c>
      <c r="V526" s="63" t="str">
        <f t="shared" si="93"/>
        <v/>
      </c>
      <c r="W526" s="64" t="str">
        <f t="shared" si="94"/>
        <v/>
      </c>
      <c r="X526" s="48" t="str">
        <f>IF(J423="","",J423)</f>
        <v/>
      </c>
      <c r="Y526" s="40" t="str">
        <f t="shared" si="95"/>
        <v/>
      </c>
      <c r="Z526" s="54" t="str">
        <f>IF(K423="","",K423)</f>
        <v/>
      </c>
      <c r="AA526" s="54" t="str">
        <f t="shared" si="96"/>
        <v/>
      </c>
      <c r="AB526" s="54" t="str">
        <f t="shared" si="97"/>
        <v/>
      </c>
      <c r="AC526" s="54" t="str">
        <f t="shared" si="98"/>
        <v/>
      </c>
      <c r="AD526" s="54" t="str">
        <f t="shared" si="99"/>
        <v/>
      </c>
      <c r="AE526" s="54" t="str">
        <f>IF(L423="","",L423)</f>
        <v/>
      </c>
      <c r="AF526" s="40" t="str">
        <f>IF(Z526&lt;&gt;"",IF(AG295="",""")],","), ac("),"")</f>
        <v/>
      </c>
    </row>
    <row r="527" spans="1:32" ht="24.75" hidden="1" x14ac:dyDescent="0.4">
      <c r="A527" s="9" t="str">
        <f t="shared" si="66"/>
        <v>/* 47 */   [ac("", "cp0","")],</v>
      </c>
      <c r="B527" s="9">
        <f t="shared" si="83"/>
        <v>47</v>
      </c>
      <c r="C527" s="9" t="str">
        <f t="shared" si="101"/>
        <v/>
      </c>
      <c r="D527" s="39" t="str">
        <f t="shared" si="100"/>
        <v/>
      </c>
      <c r="E527" s="60" t="s">
        <v>52</v>
      </c>
      <c r="F527" s="61" t="str">
        <f>IF(E424="","",E424)</f>
        <v/>
      </c>
      <c r="G527" s="42" t="s">
        <v>53</v>
      </c>
      <c r="H527" s="61" t="str">
        <f t="shared" ref="H527:H581" si="102">IF(F527="","",14)</f>
        <v/>
      </c>
      <c r="I527" s="42" t="s">
        <v>54</v>
      </c>
      <c r="J527" s="41" t="str">
        <f>IF(F424="","",F424)</f>
        <v/>
      </c>
      <c r="K527" s="40" t="str">
        <f t="shared" ref="K527:K581" si="103">IF(F527&lt;&gt;"",IF(L527="",""")],","""), ac("""),"")</f>
        <v/>
      </c>
      <c r="L527" s="43" t="str">
        <f>IF(G424="","",G424)</f>
        <v/>
      </c>
      <c r="M527" s="44" t="str">
        <f t="shared" ref="M527:M581" si="104">IF(L527="","",""",""")</f>
        <v/>
      </c>
      <c r="N527" s="45" t="str">
        <f t="shared" ref="N527:N581" si="105">IF(L527="","","cp")</f>
        <v/>
      </c>
      <c r="O527" s="43" t="str">
        <f t="shared" ref="O527:O581" si="106">IF(L527="","",90)</f>
        <v/>
      </c>
      <c r="P527" s="45" t="str">
        <f t="shared" ref="P527:P581" si="107">IF(L527="","",""",""")</f>
        <v/>
      </c>
      <c r="Q527" s="47" t="str">
        <f>IF(H424="","",H424)</f>
        <v/>
      </c>
      <c r="R527" s="40" t="str">
        <f t="shared" ref="R527:R581" si="108">IF(L527&lt;&gt;"",IF(S527="",""")],","""), ac("""),"")</f>
        <v/>
      </c>
      <c r="S527" s="61" t="str">
        <f>IF(I424="","",I424)</f>
        <v/>
      </c>
      <c r="T527" s="42" t="str">
        <f t="shared" ref="T527:T581" si="109">IF(S527="","",""",""")</f>
        <v/>
      </c>
      <c r="U527" s="42" t="str">
        <f t="shared" ref="U527:U581" si="110">IF(S527="","","cp")</f>
        <v/>
      </c>
      <c r="V527" s="61" t="str">
        <f t="shared" ref="V527:V581" si="111">IF(S527="","",150)</f>
        <v/>
      </c>
      <c r="W527" s="42" t="str">
        <f t="shared" ref="W527:W581" si="112">IF(S527="","",""",""")</f>
        <v/>
      </c>
      <c r="X527" s="41" t="str">
        <f>IF(J424="","",J424)</f>
        <v/>
      </c>
      <c r="Y527" s="40" t="str">
        <f t="shared" ref="Y527:Y581" si="113">IF(S527&lt;&gt;"",IF(Z527="",""")],","""), ac("""),"")</f>
        <v/>
      </c>
      <c r="Z527" s="47" t="str">
        <f>IF(K424="","",K424)</f>
        <v/>
      </c>
      <c r="AA527" s="47" t="str">
        <f t="shared" ref="AA527:AA581" si="114">IF(Z527="","",""",""")</f>
        <v/>
      </c>
      <c r="AB527" s="47" t="str">
        <f t="shared" ref="AB527:AB581" si="115">IF(Z527="","","cp")</f>
        <v/>
      </c>
      <c r="AC527" s="47" t="str">
        <f t="shared" ref="AC527:AC581" si="116">IF(Z527="","",250)</f>
        <v/>
      </c>
      <c r="AD527" s="47" t="str">
        <f t="shared" ref="AD527:AD581" si="117">IF(Z527="","",""",""")</f>
        <v/>
      </c>
      <c r="AE527" s="47" t="str">
        <f>IF(L424="","",L424)</f>
        <v/>
      </c>
      <c r="AF527" s="40" t="str">
        <f>IF(Z527&lt;&gt;"",IF(AG296="",""")],","), ac("),"")</f>
        <v/>
      </c>
    </row>
    <row r="528" spans="1:32" ht="24.75" hidden="1" x14ac:dyDescent="0.4">
      <c r="A528" s="9" t="str">
        <f t="shared" si="66"/>
        <v>/* 48 */   [ac("", "cp0","")],</v>
      </c>
      <c r="B528" s="9">
        <f t="shared" si="83"/>
        <v>48</v>
      </c>
      <c r="C528" s="9" t="str">
        <f t="shared" si="101"/>
        <v/>
      </c>
      <c r="D528" s="39" t="str">
        <f t="shared" si="100"/>
        <v/>
      </c>
      <c r="E528" s="60" t="s">
        <v>52</v>
      </c>
      <c r="F528" s="63" t="str">
        <f>IF(E425="","",E425)</f>
        <v/>
      </c>
      <c r="G528" s="64" t="s">
        <v>53</v>
      </c>
      <c r="H528" s="63" t="str">
        <f t="shared" si="102"/>
        <v/>
      </c>
      <c r="I528" s="64" t="s">
        <v>54</v>
      </c>
      <c r="J528" s="48" t="str">
        <f>IF(F425="","",F425)</f>
        <v/>
      </c>
      <c r="K528" s="40" t="str">
        <f t="shared" si="103"/>
        <v/>
      </c>
      <c r="L528" s="50" t="str">
        <f>IF(G425="","",G425)</f>
        <v/>
      </c>
      <c r="M528" s="51" t="str">
        <f t="shared" si="104"/>
        <v/>
      </c>
      <c r="N528" s="52" t="str">
        <f t="shared" si="105"/>
        <v/>
      </c>
      <c r="O528" s="50" t="str">
        <f t="shared" si="106"/>
        <v/>
      </c>
      <c r="P528" s="52" t="str">
        <f t="shared" si="107"/>
        <v/>
      </c>
      <c r="Q528" s="54" t="str">
        <f>IF(H425="","",H425)</f>
        <v/>
      </c>
      <c r="R528" s="40" t="str">
        <f t="shared" si="108"/>
        <v/>
      </c>
      <c r="S528" s="63" t="str">
        <f>IF(I425="","",I425)</f>
        <v/>
      </c>
      <c r="T528" s="64" t="str">
        <f t="shared" si="109"/>
        <v/>
      </c>
      <c r="U528" s="64" t="str">
        <f t="shared" si="110"/>
        <v/>
      </c>
      <c r="V528" s="63" t="str">
        <f t="shared" si="111"/>
        <v/>
      </c>
      <c r="W528" s="64" t="str">
        <f t="shared" si="112"/>
        <v/>
      </c>
      <c r="X528" s="48" t="str">
        <f>IF(J425="","",J425)</f>
        <v/>
      </c>
      <c r="Y528" s="40" t="str">
        <f t="shared" si="113"/>
        <v/>
      </c>
      <c r="Z528" s="54" t="str">
        <f>IF(K425="","",K425)</f>
        <v/>
      </c>
      <c r="AA528" s="54" t="str">
        <f t="shared" si="114"/>
        <v/>
      </c>
      <c r="AB528" s="54" t="str">
        <f t="shared" si="115"/>
        <v/>
      </c>
      <c r="AC528" s="54" t="str">
        <f t="shared" si="116"/>
        <v/>
      </c>
      <c r="AD528" s="54" t="str">
        <f t="shared" si="117"/>
        <v/>
      </c>
      <c r="AE528" s="54" t="str">
        <f>IF(L425="","",L425)</f>
        <v/>
      </c>
      <c r="AF528" s="40" t="str">
        <f>IF(Z528&lt;&gt;"",IF(AG297="",""")],","), ac("),"")</f>
        <v/>
      </c>
    </row>
    <row r="529" spans="1:32" ht="24.75" hidden="1" x14ac:dyDescent="0.4">
      <c r="A529" s="9" t="str">
        <f t="shared" si="66"/>
        <v>/* 49 */   [ac("", "cp0","")],</v>
      </c>
      <c r="B529" s="9">
        <f t="shared" si="83"/>
        <v>49</v>
      </c>
      <c r="C529" s="9" t="str">
        <f t="shared" si="101"/>
        <v/>
      </c>
      <c r="D529" s="39" t="str">
        <f t="shared" si="100"/>
        <v/>
      </c>
      <c r="E529" s="60" t="s">
        <v>52</v>
      </c>
      <c r="F529" s="61" t="str">
        <f>IF(E426="","",E426)</f>
        <v/>
      </c>
      <c r="G529" s="42" t="s">
        <v>53</v>
      </c>
      <c r="H529" s="61" t="str">
        <f t="shared" si="102"/>
        <v/>
      </c>
      <c r="I529" s="42" t="s">
        <v>54</v>
      </c>
      <c r="J529" s="41" t="str">
        <f>IF(F426="","",F426)</f>
        <v/>
      </c>
      <c r="K529" s="40" t="str">
        <f t="shared" si="103"/>
        <v/>
      </c>
      <c r="L529" s="43" t="str">
        <f>IF(G426="","",G426)</f>
        <v/>
      </c>
      <c r="M529" s="44" t="str">
        <f t="shared" si="104"/>
        <v/>
      </c>
      <c r="N529" s="45" t="str">
        <f t="shared" si="105"/>
        <v/>
      </c>
      <c r="O529" s="43" t="str">
        <f t="shared" si="106"/>
        <v/>
      </c>
      <c r="P529" s="45" t="str">
        <f t="shared" si="107"/>
        <v/>
      </c>
      <c r="Q529" s="47" t="str">
        <f>IF(H426="","",H426)</f>
        <v/>
      </c>
      <c r="R529" s="40" t="str">
        <f t="shared" si="108"/>
        <v/>
      </c>
      <c r="S529" s="61" t="str">
        <f>IF(I426="","",I426)</f>
        <v/>
      </c>
      <c r="T529" s="42" t="str">
        <f t="shared" si="109"/>
        <v/>
      </c>
      <c r="U529" s="42" t="str">
        <f t="shared" si="110"/>
        <v/>
      </c>
      <c r="V529" s="61" t="str">
        <f t="shared" si="111"/>
        <v/>
      </c>
      <c r="W529" s="42" t="str">
        <f t="shared" si="112"/>
        <v/>
      </c>
      <c r="X529" s="41" t="str">
        <f>IF(J426="","",J426)</f>
        <v/>
      </c>
      <c r="Y529" s="40" t="str">
        <f t="shared" si="113"/>
        <v/>
      </c>
      <c r="Z529" s="47" t="str">
        <f>IF(K426="","",K426)</f>
        <v/>
      </c>
      <c r="AA529" s="47" t="str">
        <f t="shared" si="114"/>
        <v/>
      </c>
      <c r="AB529" s="47" t="str">
        <f t="shared" si="115"/>
        <v/>
      </c>
      <c r="AC529" s="47" t="str">
        <f t="shared" si="116"/>
        <v/>
      </c>
      <c r="AD529" s="47" t="str">
        <f t="shared" si="117"/>
        <v/>
      </c>
      <c r="AE529" s="47" t="str">
        <f>IF(L426="","",L426)</f>
        <v/>
      </c>
      <c r="AF529" s="40" t="str">
        <f>IF(Z529&lt;&gt;"",IF(AG298="",""")],","), ac("),"")</f>
        <v/>
      </c>
    </row>
    <row r="530" spans="1:32" ht="24.75" hidden="1" x14ac:dyDescent="0.4">
      <c r="A530" s="9" t="str">
        <f t="shared" si="66"/>
        <v>/* 50 */   [ac("", "cp0","")],</v>
      </c>
      <c r="B530" s="9">
        <f t="shared" si="83"/>
        <v>50</v>
      </c>
      <c r="C530" s="9" t="str">
        <f t="shared" si="101"/>
        <v/>
      </c>
      <c r="D530" s="39" t="str">
        <f t="shared" si="100"/>
        <v/>
      </c>
      <c r="E530" s="60" t="s">
        <v>52</v>
      </c>
      <c r="F530" s="63" t="str">
        <f>IF(E427="","",E427)</f>
        <v/>
      </c>
      <c r="G530" s="64" t="s">
        <v>53</v>
      </c>
      <c r="H530" s="63" t="str">
        <f t="shared" si="102"/>
        <v/>
      </c>
      <c r="I530" s="64" t="s">
        <v>54</v>
      </c>
      <c r="J530" s="48" t="str">
        <f>IF(F427="","",F427)</f>
        <v/>
      </c>
      <c r="K530" s="40" t="str">
        <f t="shared" si="103"/>
        <v/>
      </c>
      <c r="L530" s="50" t="str">
        <f>IF(G427="","",G427)</f>
        <v/>
      </c>
      <c r="M530" s="51" t="str">
        <f t="shared" si="104"/>
        <v/>
      </c>
      <c r="N530" s="52" t="str">
        <f t="shared" si="105"/>
        <v/>
      </c>
      <c r="O530" s="50" t="str">
        <f t="shared" si="106"/>
        <v/>
      </c>
      <c r="P530" s="52" t="str">
        <f t="shared" si="107"/>
        <v/>
      </c>
      <c r="Q530" s="54" t="str">
        <f>IF(H427="","",H427)</f>
        <v/>
      </c>
      <c r="R530" s="40" t="str">
        <f t="shared" si="108"/>
        <v/>
      </c>
      <c r="S530" s="63" t="str">
        <f>IF(I427="","",I427)</f>
        <v/>
      </c>
      <c r="T530" s="64" t="str">
        <f t="shared" si="109"/>
        <v/>
      </c>
      <c r="U530" s="64" t="str">
        <f t="shared" si="110"/>
        <v/>
      </c>
      <c r="V530" s="63" t="str">
        <f t="shared" si="111"/>
        <v/>
      </c>
      <c r="W530" s="64" t="str">
        <f t="shared" si="112"/>
        <v/>
      </c>
      <c r="X530" s="48" t="str">
        <f>IF(J427="","",J427)</f>
        <v/>
      </c>
      <c r="Y530" s="40" t="str">
        <f t="shared" si="113"/>
        <v/>
      </c>
      <c r="Z530" s="54" t="str">
        <f>IF(K427="","",K427)</f>
        <v/>
      </c>
      <c r="AA530" s="54" t="str">
        <f t="shared" si="114"/>
        <v/>
      </c>
      <c r="AB530" s="54" t="str">
        <f t="shared" si="115"/>
        <v/>
      </c>
      <c r="AC530" s="54" t="str">
        <f t="shared" si="116"/>
        <v/>
      </c>
      <c r="AD530" s="54" t="str">
        <f t="shared" si="117"/>
        <v/>
      </c>
      <c r="AE530" s="54" t="str">
        <f>IF(L427="","",L427)</f>
        <v/>
      </c>
      <c r="AF530" s="40" t="str">
        <f>IF(Z530&lt;&gt;"",IF(AG299="",""")],","), ac("),"")</f>
        <v/>
      </c>
    </row>
    <row r="531" spans="1:32" ht="24.75" hidden="1" x14ac:dyDescent="0.4">
      <c r="A531" s="9" t="str">
        <f t="shared" si="66"/>
        <v>/* 51 */   [ac("", "cp0","")],</v>
      </c>
      <c r="B531" s="9">
        <f t="shared" si="83"/>
        <v>51</v>
      </c>
      <c r="C531" s="9" t="str">
        <f t="shared" si="101"/>
        <v/>
      </c>
      <c r="D531" s="39" t="str">
        <f t="shared" si="100"/>
        <v/>
      </c>
      <c r="E531" s="60" t="s">
        <v>52</v>
      </c>
      <c r="F531" s="61" t="str">
        <f>IF(E428="","",E428)</f>
        <v/>
      </c>
      <c r="G531" s="42" t="s">
        <v>53</v>
      </c>
      <c r="H531" s="61" t="str">
        <f t="shared" si="102"/>
        <v/>
      </c>
      <c r="I531" s="42" t="s">
        <v>54</v>
      </c>
      <c r="J531" s="41" t="str">
        <f>IF(F428="","",F428)</f>
        <v/>
      </c>
      <c r="K531" s="40" t="str">
        <f t="shared" si="103"/>
        <v/>
      </c>
      <c r="L531" s="43" t="str">
        <f>IF(G428="","",G428)</f>
        <v/>
      </c>
      <c r="M531" s="44" t="str">
        <f t="shared" si="104"/>
        <v/>
      </c>
      <c r="N531" s="45" t="str">
        <f t="shared" si="105"/>
        <v/>
      </c>
      <c r="O531" s="43" t="str">
        <f t="shared" si="106"/>
        <v/>
      </c>
      <c r="P531" s="45" t="str">
        <f t="shared" si="107"/>
        <v/>
      </c>
      <c r="Q531" s="47" t="str">
        <f>IF(H428="","",H428)</f>
        <v/>
      </c>
      <c r="R531" s="40" t="str">
        <f t="shared" si="108"/>
        <v/>
      </c>
      <c r="S531" s="61" t="str">
        <f>IF(I428="","",I428)</f>
        <v/>
      </c>
      <c r="T531" s="42" t="str">
        <f t="shared" si="109"/>
        <v/>
      </c>
      <c r="U531" s="42" t="str">
        <f t="shared" si="110"/>
        <v/>
      </c>
      <c r="V531" s="61" t="str">
        <f t="shared" si="111"/>
        <v/>
      </c>
      <c r="W531" s="42" t="str">
        <f t="shared" si="112"/>
        <v/>
      </c>
      <c r="X531" s="41" t="str">
        <f>IF(J428="","",J428)</f>
        <v/>
      </c>
      <c r="Y531" s="40" t="str">
        <f t="shared" si="113"/>
        <v/>
      </c>
      <c r="Z531" s="47" t="str">
        <f>IF(K428="","",K428)</f>
        <v/>
      </c>
      <c r="AA531" s="47" t="str">
        <f t="shared" si="114"/>
        <v/>
      </c>
      <c r="AB531" s="47" t="str">
        <f t="shared" si="115"/>
        <v/>
      </c>
      <c r="AC531" s="47" t="str">
        <f t="shared" si="116"/>
        <v/>
      </c>
      <c r="AD531" s="47" t="str">
        <f t="shared" si="117"/>
        <v/>
      </c>
      <c r="AE531" s="47" t="str">
        <f>IF(L428="","",L428)</f>
        <v/>
      </c>
      <c r="AF531" s="40" t="str">
        <f>IF(Z531&lt;&gt;"",IF(AG300="",""")],","), ac("),"")</f>
        <v/>
      </c>
    </row>
    <row r="532" spans="1:32" ht="24.75" hidden="1" x14ac:dyDescent="0.4">
      <c r="A532" s="9" t="str">
        <f t="shared" si="66"/>
        <v>/* 52 */   [ac("", "cp0","")],</v>
      </c>
      <c r="B532" s="9">
        <f t="shared" si="83"/>
        <v>52</v>
      </c>
      <c r="C532" s="9" t="str">
        <f t="shared" si="101"/>
        <v/>
      </c>
      <c r="D532" s="39" t="str">
        <f t="shared" si="100"/>
        <v/>
      </c>
      <c r="E532" s="60" t="s">
        <v>52</v>
      </c>
      <c r="F532" s="63" t="str">
        <f>IF(E429="","",E429)</f>
        <v/>
      </c>
      <c r="G532" s="64" t="s">
        <v>53</v>
      </c>
      <c r="H532" s="63" t="str">
        <f t="shared" si="102"/>
        <v/>
      </c>
      <c r="I532" s="64" t="s">
        <v>54</v>
      </c>
      <c r="J532" s="48" t="str">
        <f>IF(F429="","",F429)</f>
        <v/>
      </c>
      <c r="K532" s="40" t="str">
        <f t="shared" si="103"/>
        <v/>
      </c>
      <c r="L532" s="50" t="str">
        <f>IF(G429="","",G429)</f>
        <v/>
      </c>
      <c r="M532" s="51" t="str">
        <f t="shared" si="104"/>
        <v/>
      </c>
      <c r="N532" s="52" t="str">
        <f t="shared" si="105"/>
        <v/>
      </c>
      <c r="O532" s="50" t="str">
        <f t="shared" si="106"/>
        <v/>
      </c>
      <c r="P532" s="52" t="str">
        <f t="shared" si="107"/>
        <v/>
      </c>
      <c r="Q532" s="54" t="str">
        <f>IF(H429="","",H429)</f>
        <v/>
      </c>
      <c r="R532" s="40" t="str">
        <f t="shared" si="108"/>
        <v/>
      </c>
      <c r="S532" s="63" t="str">
        <f>IF(I429="","",I429)</f>
        <v/>
      </c>
      <c r="T532" s="64" t="str">
        <f t="shared" si="109"/>
        <v/>
      </c>
      <c r="U532" s="64" t="str">
        <f t="shared" si="110"/>
        <v/>
      </c>
      <c r="V532" s="63" t="str">
        <f t="shared" si="111"/>
        <v/>
      </c>
      <c r="W532" s="64" t="str">
        <f t="shared" si="112"/>
        <v/>
      </c>
      <c r="X532" s="48" t="str">
        <f>IF(J429="","",J429)</f>
        <v/>
      </c>
      <c r="Y532" s="40" t="str">
        <f t="shared" si="113"/>
        <v/>
      </c>
      <c r="Z532" s="54" t="str">
        <f>IF(K429="","",K429)</f>
        <v/>
      </c>
      <c r="AA532" s="54" t="str">
        <f t="shared" si="114"/>
        <v/>
      </c>
      <c r="AB532" s="54" t="str">
        <f t="shared" si="115"/>
        <v/>
      </c>
      <c r="AC532" s="54" t="str">
        <f t="shared" si="116"/>
        <v/>
      </c>
      <c r="AD532" s="54" t="str">
        <f t="shared" si="117"/>
        <v/>
      </c>
      <c r="AE532" s="54" t="str">
        <f>IF(L429="","",L429)</f>
        <v/>
      </c>
      <c r="AF532" s="40" t="str">
        <f>IF(Z532&lt;&gt;"",IF(AG301="",""")],","), ac("),"")</f>
        <v/>
      </c>
    </row>
    <row r="533" spans="1:32" ht="24.75" hidden="1" x14ac:dyDescent="0.4">
      <c r="A533" s="9" t="str">
        <f t="shared" si="66"/>
        <v>/* 53 */   [ac("", "cp0","")],</v>
      </c>
      <c r="B533" s="9">
        <f t="shared" si="83"/>
        <v>53</v>
      </c>
      <c r="C533" s="9" t="str">
        <f t="shared" si="101"/>
        <v/>
      </c>
      <c r="D533" s="39" t="str">
        <f t="shared" si="100"/>
        <v/>
      </c>
      <c r="E533" s="60" t="s">
        <v>52</v>
      </c>
      <c r="F533" s="61" t="str">
        <f>IF(E430="","",E430)</f>
        <v/>
      </c>
      <c r="G533" s="42" t="s">
        <v>53</v>
      </c>
      <c r="H533" s="61" t="str">
        <f t="shared" si="102"/>
        <v/>
      </c>
      <c r="I533" s="42" t="s">
        <v>54</v>
      </c>
      <c r="J533" s="41" t="str">
        <f>IF(F430="","",F430)</f>
        <v/>
      </c>
      <c r="K533" s="40" t="str">
        <f t="shared" si="103"/>
        <v/>
      </c>
      <c r="L533" s="43" t="str">
        <f>IF(G430="","",G430)</f>
        <v/>
      </c>
      <c r="M533" s="44" t="str">
        <f t="shared" si="104"/>
        <v/>
      </c>
      <c r="N533" s="45" t="str">
        <f t="shared" si="105"/>
        <v/>
      </c>
      <c r="O533" s="43" t="str">
        <f t="shared" si="106"/>
        <v/>
      </c>
      <c r="P533" s="45" t="str">
        <f t="shared" si="107"/>
        <v/>
      </c>
      <c r="Q533" s="47" t="str">
        <f>IF(H430="","",H430)</f>
        <v/>
      </c>
      <c r="R533" s="40" t="str">
        <f t="shared" si="108"/>
        <v/>
      </c>
      <c r="S533" s="61" t="str">
        <f>IF(I430="","",I430)</f>
        <v/>
      </c>
      <c r="T533" s="42" t="str">
        <f t="shared" si="109"/>
        <v/>
      </c>
      <c r="U533" s="42" t="str">
        <f t="shared" si="110"/>
        <v/>
      </c>
      <c r="V533" s="61" t="str">
        <f t="shared" si="111"/>
        <v/>
      </c>
      <c r="W533" s="42" t="str">
        <f t="shared" si="112"/>
        <v/>
      </c>
      <c r="X533" s="41" t="str">
        <f>IF(J430="","",J430)</f>
        <v/>
      </c>
      <c r="Y533" s="40" t="str">
        <f t="shared" si="113"/>
        <v/>
      </c>
      <c r="Z533" s="47" t="str">
        <f>IF(K430="","",K430)</f>
        <v/>
      </c>
      <c r="AA533" s="47" t="str">
        <f t="shared" si="114"/>
        <v/>
      </c>
      <c r="AB533" s="47" t="str">
        <f t="shared" si="115"/>
        <v/>
      </c>
      <c r="AC533" s="47" t="str">
        <f t="shared" si="116"/>
        <v/>
      </c>
      <c r="AD533" s="47" t="str">
        <f t="shared" si="117"/>
        <v/>
      </c>
      <c r="AE533" s="47" t="str">
        <f>IF(L430="","",L430)</f>
        <v/>
      </c>
      <c r="AF533" s="40" t="str">
        <f>IF(Z533&lt;&gt;"",IF(AG302="",""")],","), ac("),"")</f>
        <v/>
      </c>
    </row>
    <row r="534" spans="1:32" ht="24.75" hidden="1" x14ac:dyDescent="0.4">
      <c r="A534" s="9" t="str">
        <f t="shared" si="66"/>
        <v>/* 54 */   [ac("", "cp0","")],</v>
      </c>
      <c r="B534" s="9">
        <f t="shared" si="83"/>
        <v>54</v>
      </c>
      <c r="C534" s="9" t="str">
        <f t="shared" si="101"/>
        <v/>
      </c>
      <c r="D534" s="39" t="str">
        <f t="shared" si="100"/>
        <v/>
      </c>
      <c r="E534" s="60" t="s">
        <v>52</v>
      </c>
      <c r="F534" s="63" t="str">
        <f>IF(E431="","",E431)</f>
        <v/>
      </c>
      <c r="G534" s="64" t="s">
        <v>53</v>
      </c>
      <c r="H534" s="63" t="str">
        <f t="shared" si="102"/>
        <v/>
      </c>
      <c r="I534" s="64" t="s">
        <v>54</v>
      </c>
      <c r="J534" s="48" t="str">
        <f>IF(F431="","",F431)</f>
        <v/>
      </c>
      <c r="K534" s="40" t="str">
        <f t="shared" si="103"/>
        <v/>
      </c>
      <c r="L534" s="50" t="str">
        <f>IF(G431="","",G431)</f>
        <v/>
      </c>
      <c r="M534" s="51" t="str">
        <f t="shared" si="104"/>
        <v/>
      </c>
      <c r="N534" s="52" t="str">
        <f t="shared" si="105"/>
        <v/>
      </c>
      <c r="O534" s="50" t="str">
        <f t="shared" si="106"/>
        <v/>
      </c>
      <c r="P534" s="52" t="str">
        <f t="shared" si="107"/>
        <v/>
      </c>
      <c r="Q534" s="54" t="str">
        <f>IF(H431="","",H431)</f>
        <v/>
      </c>
      <c r="R534" s="40" t="str">
        <f t="shared" si="108"/>
        <v/>
      </c>
      <c r="S534" s="63" t="str">
        <f>IF(I431="","",I431)</f>
        <v/>
      </c>
      <c r="T534" s="64" t="str">
        <f t="shared" si="109"/>
        <v/>
      </c>
      <c r="U534" s="64" t="str">
        <f t="shared" si="110"/>
        <v/>
      </c>
      <c r="V534" s="63" t="str">
        <f t="shared" si="111"/>
        <v/>
      </c>
      <c r="W534" s="64" t="str">
        <f t="shared" si="112"/>
        <v/>
      </c>
      <c r="X534" s="48" t="str">
        <f>IF(J431="","",J431)</f>
        <v/>
      </c>
      <c r="Y534" s="40" t="str">
        <f t="shared" si="113"/>
        <v/>
      </c>
      <c r="Z534" s="54" t="str">
        <f>IF(K431="","",K431)</f>
        <v/>
      </c>
      <c r="AA534" s="54" t="str">
        <f t="shared" si="114"/>
        <v/>
      </c>
      <c r="AB534" s="54" t="str">
        <f t="shared" si="115"/>
        <v/>
      </c>
      <c r="AC534" s="54" t="str">
        <f t="shared" si="116"/>
        <v/>
      </c>
      <c r="AD534" s="54" t="str">
        <f t="shared" si="117"/>
        <v/>
      </c>
      <c r="AE534" s="54" t="str">
        <f>IF(L431="","",L431)</f>
        <v/>
      </c>
      <c r="AF534" s="40" t="str">
        <f>IF(Z534&lt;&gt;"",IF(AG303="",""")],","), ac("),"")</f>
        <v/>
      </c>
    </row>
    <row r="535" spans="1:32" ht="24.75" hidden="1" x14ac:dyDescent="0.4">
      <c r="A535" s="9" t="str">
        <f t="shared" si="66"/>
        <v>/* 55 */   [ac("", "cp0","")],</v>
      </c>
      <c r="B535" s="9">
        <f t="shared" si="83"/>
        <v>55</v>
      </c>
      <c r="C535" s="9" t="str">
        <f t="shared" si="101"/>
        <v/>
      </c>
      <c r="D535" s="39" t="str">
        <f t="shared" si="100"/>
        <v/>
      </c>
      <c r="E535" s="60" t="s">
        <v>52</v>
      </c>
      <c r="F535" s="61" t="str">
        <f>IF(E432="","",E432)</f>
        <v/>
      </c>
      <c r="G535" s="42" t="s">
        <v>53</v>
      </c>
      <c r="H535" s="61" t="str">
        <f t="shared" si="102"/>
        <v/>
      </c>
      <c r="I535" s="42" t="s">
        <v>54</v>
      </c>
      <c r="J535" s="41" t="str">
        <f>IF(F432="","",F432)</f>
        <v/>
      </c>
      <c r="K535" s="40" t="str">
        <f t="shared" si="103"/>
        <v/>
      </c>
      <c r="L535" s="43" t="str">
        <f>IF(G432="","",G432)</f>
        <v/>
      </c>
      <c r="M535" s="44" t="str">
        <f t="shared" si="104"/>
        <v/>
      </c>
      <c r="N535" s="45" t="str">
        <f t="shared" si="105"/>
        <v/>
      </c>
      <c r="O535" s="43" t="str">
        <f t="shared" si="106"/>
        <v/>
      </c>
      <c r="P535" s="45" t="str">
        <f t="shared" si="107"/>
        <v/>
      </c>
      <c r="Q535" s="47" t="str">
        <f>IF(H432="","",H432)</f>
        <v/>
      </c>
      <c r="R535" s="40" t="str">
        <f t="shared" si="108"/>
        <v/>
      </c>
      <c r="S535" s="61" t="str">
        <f>IF(I432="","",I432)</f>
        <v/>
      </c>
      <c r="T535" s="42" t="str">
        <f t="shared" si="109"/>
        <v/>
      </c>
      <c r="U535" s="42" t="str">
        <f t="shared" si="110"/>
        <v/>
      </c>
      <c r="V535" s="61" t="str">
        <f t="shared" si="111"/>
        <v/>
      </c>
      <c r="W535" s="42" t="str">
        <f t="shared" si="112"/>
        <v/>
      </c>
      <c r="X535" s="41" t="str">
        <f>IF(J432="","",J432)</f>
        <v/>
      </c>
      <c r="Y535" s="40" t="str">
        <f t="shared" si="113"/>
        <v/>
      </c>
      <c r="Z535" s="47" t="str">
        <f>IF(K432="","",K432)</f>
        <v/>
      </c>
      <c r="AA535" s="47" t="str">
        <f t="shared" si="114"/>
        <v/>
      </c>
      <c r="AB535" s="47" t="str">
        <f t="shared" si="115"/>
        <v/>
      </c>
      <c r="AC535" s="47" t="str">
        <f t="shared" si="116"/>
        <v/>
      </c>
      <c r="AD535" s="47" t="str">
        <f t="shared" si="117"/>
        <v/>
      </c>
      <c r="AE535" s="47" t="str">
        <f>IF(L432="","",L432)</f>
        <v/>
      </c>
      <c r="AF535" s="40" t="str">
        <f>IF(Z535&lt;&gt;"",IF(AG304="",""")],","), ac("),"")</f>
        <v/>
      </c>
    </row>
    <row r="536" spans="1:32" ht="24.75" hidden="1" x14ac:dyDescent="0.4">
      <c r="A536" s="9" t="str">
        <f t="shared" si="66"/>
        <v>/* 56 */   [ac("", "cp0","")],</v>
      </c>
      <c r="B536" s="9">
        <f t="shared" si="83"/>
        <v>56</v>
      </c>
      <c r="C536" s="9" t="str">
        <f t="shared" si="101"/>
        <v/>
      </c>
      <c r="D536" s="39" t="str">
        <f t="shared" si="100"/>
        <v/>
      </c>
      <c r="E536" s="60" t="s">
        <v>52</v>
      </c>
      <c r="F536" s="63" t="str">
        <f>IF(E433="","",E433)</f>
        <v/>
      </c>
      <c r="G536" s="64" t="s">
        <v>53</v>
      </c>
      <c r="H536" s="63" t="str">
        <f t="shared" si="102"/>
        <v/>
      </c>
      <c r="I536" s="64" t="s">
        <v>54</v>
      </c>
      <c r="J536" s="48" t="str">
        <f>IF(F433="","",F433)</f>
        <v/>
      </c>
      <c r="K536" s="40" t="str">
        <f t="shared" si="103"/>
        <v/>
      </c>
      <c r="L536" s="50" t="str">
        <f>IF(G433="","",G433)</f>
        <v/>
      </c>
      <c r="M536" s="51" t="str">
        <f t="shared" si="104"/>
        <v/>
      </c>
      <c r="N536" s="52" t="str">
        <f t="shared" si="105"/>
        <v/>
      </c>
      <c r="O536" s="50" t="str">
        <f t="shared" si="106"/>
        <v/>
      </c>
      <c r="P536" s="52" t="str">
        <f t="shared" si="107"/>
        <v/>
      </c>
      <c r="Q536" s="54" t="str">
        <f>IF(H433="","",H433)</f>
        <v/>
      </c>
      <c r="R536" s="40" t="str">
        <f t="shared" si="108"/>
        <v/>
      </c>
      <c r="S536" s="63" t="str">
        <f>IF(I433="","",I433)</f>
        <v/>
      </c>
      <c r="T536" s="64" t="str">
        <f t="shared" si="109"/>
        <v/>
      </c>
      <c r="U536" s="64" t="str">
        <f t="shared" si="110"/>
        <v/>
      </c>
      <c r="V536" s="63" t="str">
        <f t="shared" si="111"/>
        <v/>
      </c>
      <c r="W536" s="64" t="str">
        <f t="shared" si="112"/>
        <v/>
      </c>
      <c r="X536" s="48" t="str">
        <f>IF(J433="","",J433)</f>
        <v/>
      </c>
      <c r="Y536" s="40" t="str">
        <f t="shared" si="113"/>
        <v/>
      </c>
      <c r="Z536" s="54" t="str">
        <f>IF(K433="","",K433)</f>
        <v/>
      </c>
      <c r="AA536" s="54" t="str">
        <f t="shared" si="114"/>
        <v/>
      </c>
      <c r="AB536" s="54" t="str">
        <f t="shared" si="115"/>
        <v/>
      </c>
      <c r="AC536" s="54" t="str">
        <f t="shared" si="116"/>
        <v/>
      </c>
      <c r="AD536" s="54" t="str">
        <f t="shared" si="117"/>
        <v/>
      </c>
      <c r="AE536" s="54" t="str">
        <f>IF(L433="","",L433)</f>
        <v/>
      </c>
      <c r="AF536" s="40" t="str">
        <f>IF(Z536&lt;&gt;"",IF(AG305="",""")],","), ac("),"")</f>
        <v/>
      </c>
    </row>
    <row r="537" spans="1:32" ht="24.75" hidden="1" x14ac:dyDescent="0.4">
      <c r="A537" s="9" t="str">
        <f t="shared" si="66"/>
        <v>/* 57 */   [ac("", "cp0","")],</v>
      </c>
      <c r="B537" s="9">
        <f t="shared" si="83"/>
        <v>57</v>
      </c>
      <c r="C537" s="9" t="str">
        <f t="shared" si="101"/>
        <v/>
      </c>
      <c r="D537" s="39" t="str">
        <f t="shared" si="100"/>
        <v/>
      </c>
      <c r="E537" s="60" t="s">
        <v>52</v>
      </c>
      <c r="F537" s="61" t="str">
        <f>IF(E434="","",E434)</f>
        <v/>
      </c>
      <c r="G537" s="42" t="s">
        <v>53</v>
      </c>
      <c r="H537" s="61" t="str">
        <f t="shared" si="102"/>
        <v/>
      </c>
      <c r="I537" s="42" t="s">
        <v>54</v>
      </c>
      <c r="J537" s="41" t="str">
        <f>IF(F434="","",F434)</f>
        <v/>
      </c>
      <c r="K537" s="40" t="str">
        <f t="shared" si="103"/>
        <v/>
      </c>
      <c r="L537" s="43" t="str">
        <f>IF(G434="","",G434)</f>
        <v/>
      </c>
      <c r="M537" s="44" t="str">
        <f t="shared" si="104"/>
        <v/>
      </c>
      <c r="N537" s="45" t="str">
        <f t="shared" si="105"/>
        <v/>
      </c>
      <c r="O537" s="43" t="str">
        <f t="shared" si="106"/>
        <v/>
      </c>
      <c r="P537" s="45" t="str">
        <f t="shared" si="107"/>
        <v/>
      </c>
      <c r="Q537" s="47" t="str">
        <f>IF(H434="","",H434)</f>
        <v/>
      </c>
      <c r="R537" s="40" t="str">
        <f t="shared" si="108"/>
        <v/>
      </c>
      <c r="S537" s="61" t="str">
        <f>IF(I434="","",I434)</f>
        <v/>
      </c>
      <c r="T537" s="42" t="str">
        <f t="shared" si="109"/>
        <v/>
      </c>
      <c r="U537" s="42" t="str">
        <f t="shared" si="110"/>
        <v/>
      </c>
      <c r="V537" s="61" t="str">
        <f t="shared" si="111"/>
        <v/>
      </c>
      <c r="W537" s="42" t="str">
        <f t="shared" si="112"/>
        <v/>
      </c>
      <c r="X537" s="41" t="str">
        <f>IF(J434="","",J434)</f>
        <v/>
      </c>
      <c r="Y537" s="40" t="str">
        <f t="shared" si="113"/>
        <v/>
      </c>
      <c r="Z537" s="47" t="str">
        <f>IF(K434="","",K434)</f>
        <v/>
      </c>
      <c r="AA537" s="47" t="str">
        <f t="shared" si="114"/>
        <v/>
      </c>
      <c r="AB537" s="47" t="str">
        <f t="shared" si="115"/>
        <v/>
      </c>
      <c r="AC537" s="47" t="str">
        <f t="shared" si="116"/>
        <v/>
      </c>
      <c r="AD537" s="47" t="str">
        <f t="shared" si="117"/>
        <v/>
      </c>
      <c r="AE537" s="47" t="str">
        <f>IF(L434="","",L434)</f>
        <v/>
      </c>
      <c r="AF537" s="40" t="str">
        <f>IF(Z537&lt;&gt;"",IF(AG306="",""")],","), ac("),"")</f>
        <v/>
      </c>
    </row>
    <row r="538" spans="1:32" ht="24.75" hidden="1" x14ac:dyDescent="0.4">
      <c r="A538" s="9" t="str">
        <f t="shared" si="66"/>
        <v>/* 58 */   [ac("", "cp0","")],</v>
      </c>
      <c r="B538" s="9">
        <f t="shared" si="83"/>
        <v>58</v>
      </c>
      <c r="C538" s="9" t="str">
        <f t="shared" si="101"/>
        <v/>
      </c>
      <c r="D538" s="39" t="str">
        <f t="shared" si="100"/>
        <v/>
      </c>
      <c r="E538" s="60" t="s">
        <v>52</v>
      </c>
      <c r="F538" s="63" t="str">
        <f>IF(E435="","",E435)</f>
        <v/>
      </c>
      <c r="G538" s="64" t="s">
        <v>53</v>
      </c>
      <c r="H538" s="63" t="str">
        <f t="shared" si="102"/>
        <v/>
      </c>
      <c r="I538" s="64" t="s">
        <v>54</v>
      </c>
      <c r="J538" s="48" t="str">
        <f>IF(F435="","",F435)</f>
        <v/>
      </c>
      <c r="K538" s="40" t="str">
        <f t="shared" si="103"/>
        <v/>
      </c>
      <c r="L538" s="50" t="str">
        <f>IF(G435="","",G435)</f>
        <v/>
      </c>
      <c r="M538" s="51" t="str">
        <f t="shared" si="104"/>
        <v/>
      </c>
      <c r="N538" s="52" t="str">
        <f t="shared" si="105"/>
        <v/>
      </c>
      <c r="O538" s="50" t="str">
        <f t="shared" si="106"/>
        <v/>
      </c>
      <c r="P538" s="52" t="str">
        <f t="shared" si="107"/>
        <v/>
      </c>
      <c r="Q538" s="54" t="str">
        <f>IF(H435="","",H435)</f>
        <v/>
      </c>
      <c r="R538" s="40" t="str">
        <f t="shared" si="108"/>
        <v/>
      </c>
      <c r="S538" s="63" t="str">
        <f>IF(I435="","",I435)</f>
        <v/>
      </c>
      <c r="T538" s="64" t="str">
        <f t="shared" si="109"/>
        <v/>
      </c>
      <c r="U538" s="64" t="str">
        <f t="shared" si="110"/>
        <v/>
      </c>
      <c r="V538" s="63" t="str">
        <f t="shared" si="111"/>
        <v/>
      </c>
      <c r="W538" s="64" t="str">
        <f t="shared" si="112"/>
        <v/>
      </c>
      <c r="X538" s="48" t="str">
        <f>IF(J435="","",J435)</f>
        <v/>
      </c>
      <c r="Y538" s="40" t="str">
        <f t="shared" si="113"/>
        <v/>
      </c>
      <c r="Z538" s="54" t="str">
        <f>IF(K435="","",K435)</f>
        <v/>
      </c>
      <c r="AA538" s="54" t="str">
        <f t="shared" si="114"/>
        <v/>
      </c>
      <c r="AB538" s="54" t="str">
        <f t="shared" si="115"/>
        <v/>
      </c>
      <c r="AC538" s="54" t="str">
        <f t="shared" si="116"/>
        <v/>
      </c>
      <c r="AD538" s="54" t="str">
        <f t="shared" si="117"/>
        <v/>
      </c>
      <c r="AE538" s="54" t="str">
        <f>IF(L435="","",L435)</f>
        <v/>
      </c>
      <c r="AF538" s="40" t="str">
        <f>IF(Z538&lt;&gt;"",IF(AG307="",""")],","), ac("),"")</f>
        <v/>
      </c>
    </row>
    <row r="539" spans="1:32" ht="24.75" hidden="1" x14ac:dyDescent="0.4">
      <c r="A539" s="9" t="str">
        <f t="shared" si="66"/>
        <v>/* 59 */   [ac("", "cp0","")],</v>
      </c>
      <c r="B539" s="9">
        <f t="shared" si="83"/>
        <v>59</v>
      </c>
      <c r="C539" s="9" t="str">
        <f t="shared" si="101"/>
        <v/>
      </c>
      <c r="D539" s="39" t="str">
        <f t="shared" si="100"/>
        <v/>
      </c>
      <c r="E539" s="60" t="s">
        <v>52</v>
      </c>
      <c r="F539" s="61" t="str">
        <f>IF(E436="","",E436)</f>
        <v/>
      </c>
      <c r="G539" s="42" t="s">
        <v>53</v>
      </c>
      <c r="H539" s="61" t="str">
        <f t="shared" si="102"/>
        <v/>
      </c>
      <c r="I539" s="42" t="s">
        <v>54</v>
      </c>
      <c r="J539" s="41" t="str">
        <f>IF(F436="","",F436)</f>
        <v/>
      </c>
      <c r="K539" s="40" t="str">
        <f t="shared" si="103"/>
        <v/>
      </c>
      <c r="L539" s="43" t="str">
        <f>IF(G436="","",G436)</f>
        <v/>
      </c>
      <c r="M539" s="44" t="str">
        <f t="shared" si="104"/>
        <v/>
      </c>
      <c r="N539" s="45" t="str">
        <f t="shared" si="105"/>
        <v/>
      </c>
      <c r="O539" s="43" t="str">
        <f t="shared" si="106"/>
        <v/>
      </c>
      <c r="P539" s="45" t="str">
        <f t="shared" si="107"/>
        <v/>
      </c>
      <c r="Q539" s="47" t="str">
        <f>IF(H436="","",H436)</f>
        <v/>
      </c>
      <c r="R539" s="40" t="str">
        <f t="shared" si="108"/>
        <v/>
      </c>
      <c r="S539" s="61" t="str">
        <f>IF(I436="","",I436)</f>
        <v/>
      </c>
      <c r="T539" s="42" t="str">
        <f t="shared" si="109"/>
        <v/>
      </c>
      <c r="U539" s="42" t="str">
        <f t="shared" si="110"/>
        <v/>
      </c>
      <c r="V539" s="61" t="str">
        <f t="shared" si="111"/>
        <v/>
      </c>
      <c r="W539" s="42" t="str">
        <f t="shared" si="112"/>
        <v/>
      </c>
      <c r="X539" s="41" t="str">
        <f>IF(J436="","",J436)</f>
        <v/>
      </c>
      <c r="Y539" s="40" t="str">
        <f t="shared" si="113"/>
        <v/>
      </c>
      <c r="Z539" s="47" t="str">
        <f>IF(K436="","",K436)</f>
        <v/>
      </c>
      <c r="AA539" s="47" t="str">
        <f t="shared" si="114"/>
        <v/>
      </c>
      <c r="AB539" s="47" t="str">
        <f t="shared" si="115"/>
        <v/>
      </c>
      <c r="AC539" s="47" t="str">
        <f t="shared" si="116"/>
        <v/>
      </c>
      <c r="AD539" s="47" t="str">
        <f t="shared" si="117"/>
        <v/>
      </c>
      <c r="AE539" s="47" t="str">
        <f>IF(L436="","",L436)</f>
        <v/>
      </c>
      <c r="AF539" s="40" t="str">
        <f>IF(Z539&lt;&gt;"",IF(AG308="",""")],","), ac("),"")</f>
        <v/>
      </c>
    </row>
    <row r="540" spans="1:32" ht="24.75" hidden="1" x14ac:dyDescent="0.4">
      <c r="A540" s="9" t="str">
        <f t="shared" si="66"/>
        <v>/* 60 */   [ac("", "cp0","")],</v>
      </c>
      <c r="B540" s="9">
        <f t="shared" si="83"/>
        <v>60</v>
      </c>
      <c r="C540" s="9" t="str">
        <f t="shared" si="101"/>
        <v/>
      </c>
      <c r="D540" s="39" t="str">
        <f t="shared" si="100"/>
        <v/>
      </c>
      <c r="E540" s="60" t="s">
        <v>52</v>
      </c>
      <c r="F540" s="63" t="str">
        <f>IF(E437="","",E437)</f>
        <v/>
      </c>
      <c r="G540" s="64" t="s">
        <v>53</v>
      </c>
      <c r="H540" s="63" t="str">
        <f t="shared" si="102"/>
        <v/>
      </c>
      <c r="I540" s="64" t="s">
        <v>54</v>
      </c>
      <c r="J540" s="48" t="str">
        <f>IF(F437="","",F437)</f>
        <v/>
      </c>
      <c r="K540" s="40" t="str">
        <f t="shared" si="103"/>
        <v/>
      </c>
      <c r="L540" s="50" t="str">
        <f>IF(G437="","",G437)</f>
        <v/>
      </c>
      <c r="M540" s="51" t="str">
        <f t="shared" si="104"/>
        <v/>
      </c>
      <c r="N540" s="52" t="str">
        <f t="shared" si="105"/>
        <v/>
      </c>
      <c r="O540" s="50" t="str">
        <f t="shared" si="106"/>
        <v/>
      </c>
      <c r="P540" s="52" t="str">
        <f t="shared" si="107"/>
        <v/>
      </c>
      <c r="Q540" s="54" t="str">
        <f>IF(H437="","",H437)</f>
        <v/>
      </c>
      <c r="R540" s="40" t="str">
        <f t="shared" si="108"/>
        <v/>
      </c>
      <c r="S540" s="63" t="str">
        <f>IF(I437="","",I437)</f>
        <v/>
      </c>
      <c r="T540" s="64" t="str">
        <f t="shared" si="109"/>
        <v/>
      </c>
      <c r="U540" s="64" t="str">
        <f t="shared" si="110"/>
        <v/>
      </c>
      <c r="V540" s="63" t="str">
        <f t="shared" si="111"/>
        <v/>
      </c>
      <c r="W540" s="64" t="str">
        <f t="shared" si="112"/>
        <v/>
      </c>
      <c r="X540" s="48" t="str">
        <f>IF(J437="","",J437)</f>
        <v/>
      </c>
      <c r="Y540" s="40" t="str">
        <f t="shared" si="113"/>
        <v/>
      </c>
      <c r="Z540" s="54" t="str">
        <f>IF(K437="","",K437)</f>
        <v/>
      </c>
      <c r="AA540" s="54" t="str">
        <f t="shared" si="114"/>
        <v/>
      </c>
      <c r="AB540" s="54" t="str">
        <f t="shared" si="115"/>
        <v/>
      </c>
      <c r="AC540" s="54" t="str">
        <f t="shared" si="116"/>
        <v/>
      </c>
      <c r="AD540" s="54" t="str">
        <f t="shared" si="117"/>
        <v/>
      </c>
      <c r="AE540" s="54" t="str">
        <f>IF(L437="","",L437)</f>
        <v/>
      </c>
      <c r="AF540" s="40" t="str">
        <f>IF(Z540&lt;&gt;"",IF(AG309="",""")],","), ac("),"")</f>
        <v/>
      </c>
    </row>
    <row r="541" spans="1:32" ht="24.75" hidden="1" x14ac:dyDescent="0.4">
      <c r="A541" s="9" t="str">
        <f t="shared" si="66"/>
        <v>/* 61 */   [ac("", "cp0","")],</v>
      </c>
      <c r="B541" s="9">
        <f t="shared" si="83"/>
        <v>61</v>
      </c>
      <c r="C541" s="9" t="str">
        <f t="shared" si="101"/>
        <v/>
      </c>
      <c r="D541" s="39" t="str">
        <f t="shared" si="100"/>
        <v/>
      </c>
      <c r="E541" s="60" t="s">
        <v>52</v>
      </c>
      <c r="F541" s="61" t="str">
        <f>IF(E438="","",E438)</f>
        <v/>
      </c>
      <c r="G541" s="42" t="s">
        <v>53</v>
      </c>
      <c r="H541" s="61" t="str">
        <f t="shared" si="102"/>
        <v/>
      </c>
      <c r="I541" s="42" t="s">
        <v>54</v>
      </c>
      <c r="J541" s="41" t="str">
        <f>IF(F438="","",F438)</f>
        <v/>
      </c>
      <c r="K541" s="40" t="str">
        <f t="shared" si="103"/>
        <v/>
      </c>
      <c r="L541" s="43" t="str">
        <f>IF(G438="","",G438)</f>
        <v/>
      </c>
      <c r="M541" s="44" t="str">
        <f t="shared" si="104"/>
        <v/>
      </c>
      <c r="N541" s="45" t="str">
        <f t="shared" si="105"/>
        <v/>
      </c>
      <c r="O541" s="43" t="str">
        <f t="shared" si="106"/>
        <v/>
      </c>
      <c r="P541" s="45" t="str">
        <f t="shared" si="107"/>
        <v/>
      </c>
      <c r="Q541" s="47" t="str">
        <f>IF(H438="","",H438)</f>
        <v/>
      </c>
      <c r="R541" s="40" t="str">
        <f t="shared" si="108"/>
        <v/>
      </c>
      <c r="S541" s="61" t="str">
        <f>IF(I438="","",I438)</f>
        <v/>
      </c>
      <c r="T541" s="42" t="str">
        <f t="shared" si="109"/>
        <v/>
      </c>
      <c r="U541" s="42" t="str">
        <f t="shared" si="110"/>
        <v/>
      </c>
      <c r="V541" s="61" t="str">
        <f t="shared" si="111"/>
        <v/>
      </c>
      <c r="W541" s="42" t="str">
        <f t="shared" si="112"/>
        <v/>
      </c>
      <c r="X541" s="41" t="str">
        <f>IF(J438="","",J438)</f>
        <v/>
      </c>
      <c r="Y541" s="40" t="str">
        <f t="shared" si="113"/>
        <v/>
      </c>
      <c r="Z541" s="47" t="str">
        <f>IF(K438="","",K438)</f>
        <v/>
      </c>
      <c r="AA541" s="47" t="str">
        <f t="shared" si="114"/>
        <v/>
      </c>
      <c r="AB541" s="47" t="str">
        <f t="shared" si="115"/>
        <v/>
      </c>
      <c r="AC541" s="47" t="str">
        <f t="shared" si="116"/>
        <v/>
      </c>
      <c r="AD541" s="47" t="str">
        <f t="shared" si="117"/>
        <v/>
      </c>
      <c r="AE541" s="47" t="str">
        <f>IF(L438="","",L438)</f>
        <v/>
      </c>
      <c r="AF541" s="40" t="str">
        <f>IF(Z541&lt;&gt;"",IF(AG310="",""")],","), ac("),"")</f>
        <v/>
      </c>
    </row>
    <row r="542" spans="1:32" ht="24.75" hidden="1" x14ac:dyDescent="0.4">
      <c r="A542" s="9" t="str">
        <f t="shared" si="66"/>
        <v>/* 62 */   [ac("", "cp0","")],</v>
      </c>
      <c r="B542" s="9">
        <f t="shared" si="83"/>
        <v>62</v>
      </c>
      <c r="C542" s="9" t="str">
        <f t="shared" si="101"/>
        <v/>
      </c>
      <c r="D542" s="39" t="str">
        <f t="shared" si="100"/>
        <v/>
      </c>
      <c r="E542" s="60" t="s">
        <v>52</v>
      </c>
      <c r="F542" s="63" t="str">
        <f>IF(E439="","",E439)</f>
        <v/>
      </c>
      <c r="G542" s="64" t="s">
        <v>53</v>
      </c>
      <c r="H542" s="63" t="str">
        <f t="shared" si="102"/>
        <v/>
      </c>
      <c r="I542" s="64" t="s">
        <v>54</v>
      </c>
      <c r="J542" s="48" t="str">
        <f>IF(F439="","",F439)</f>
        <v/>
      </c>
      <c r="K542" s="40" t="str">
        <f t="shared" si="103"/>
        <v/>
      </c>
      <c r="L542" s="50" t="str">
        <f>IF(G439="","",G439)</f>
        <v/>
      </c>
      <c r="M542" s="51" t="str">
        <f t="shared" si="104"/>
        <v/>
      </c>
      <c r="N542" s="52" t="str">
        <f t="shared" si="105"/>
        <v/>
      </c>
      <c r="O542" s="50" t="str">
        <f t="shared" si="106"/>
        <v/>
      </c>
      <c r="P542" s="52" t="str">
        <f t="shared" si="107"/>
        <v/>
      </c>
      <c r="Q542" s="54" t="str">
        <f>IF(H439="","",H439)</f>
        <v/>
      </c>
      <c r="R542" s="40" t="str">
        <f t="shared" si="108"/>
        <v/>
      </c>
      <c r="S542" s="63" t="str">
        <f>IF(I439="","",I439)</f>
        <v/>
      </c>
      <c r="T542" s="64" t="str">
        <f t="shared" si="109"/>
        <v/>
      </c>
      <c r="U542" s="64" t="str">
        <f t="shared" si="110"/>
        <v/>
      </c>
      <c r="V542" s="63" t="str">
        <f t="shared" si="111"/>
        <v/>
      </c>
      <c r="W542" s="64" t="str">
        <f t="shared" si="112"/>
        <v/>
      </c>
      <c r="X542" s="48" t="str">
        <f>IF(J439="","",J439)</f>
        <v/>
      </c>
      <c r="Y542" s="40" t="str">
        <f t="shared" si="113"/>
        <v/>
      </c>
      <c r="Z542" s="54" t="str">
        <f>IF(K439="","",K439)</f>
        <v/>
      </c>
      <c r="AA542" s="54" t="str">
        <f t="shared" si="114"/>
        <v/>
      </c>
      <c r="AB542" s="54" t="str">
        <f t="shared" si="115"/>
        <v/>
      </c>
      <c r="AC542" s="54" t="str">
        <f t="shared" si="116"/>
        <v/>
      </c>
      <c r="AD542" s="54" t="str">
        <f t="shared" si="117"/>
        <v/>
      </c>
      <c r="AE542" s="54" t="str">
        <f>IF(L439="","",L439)</f>
        <v/>
      </c>
      <c r="AF542" s="40" t="str">
        <f>IF(Z542&lt;&gt;"",IF(AG311="",""")],","), ac("),"")</f>
        <v/>
      </c>
    </row>
    <row r="543" spans="1:32" ht="24.75" hidden="1" x14ac:dyDescent="0.4">
      <c r="A543" s="9" t="str">
        <f t="shared" si="66"/>
        <v>/* 63 */   [ac("", "cp0","")],</v>
      </c>
      <c r="B543" s="9">
        <f t="shared" si="83"/>
        <v>63</v>
      </c>
      <c r="C543" s="9" t="str">
        <f t="shared" si="101"/>
        <v/>
      </c>
      <c r="D543" s="39" t="str">
        <f t="shared" si="100"/>
        <v/>
      </c>
      <c r="E543" s="60" t="s">
        <v>52</v>
      </c>
      <c r="F543" s="61" t="str">
        <f>IF(E440="","",E440)</f>
        <v/>
      </c>
      <c r="G543" s="42" t="s">
        <v>53</v>
      </c>
      <c r="H543" s="61" t="str">
        <f t="shared" si="102"/>
        <v/>
      </c>
      <c r="I543" s="42" t="s">
        <v>54</v>
      </c>
      <c r="J543" s="41" t="str">
        <f>IF(F440="","",F440)</f>
        <v/>
      </c>
      <c r="K543" s="40" t="str">
        <f t="shared" si="103"/>
        <v/>
      </c>
      <c r="L543" s="43" t="str">
        <f>IF(G440="","",G440)</f>
        <v/>
      </c>
      <c r="M543" s="44" t="str">
        <f t="shared" si="104"/>
        <v/>
      </c>
      <c r="N543" s="45" t="str">
        <f t="shared" si="105"/>
        <v/>
      </c>
      <c r="O543" s="43" t="str">
        <f t="shared" si="106"/>
        <v/>
      </c>
      <c r="P543" s="45" t="str">
        <f t="shared" si="107"/>
        <v/>
      </c>
      <c r="Q543" s="47" t="str">
        <f>IF(H440="","",H440)</f>
        <v/>
      </c>
      <c r="R543" s="40" t="str">
        <f t="shared" si="108"/>
        <v/>
      </c>
      <c r="S543" s="61" t="str">
        <f>IF(I440="","",I440)</f>
        <v/>
      </c>
      <c r="T543" s="42" t="str">
        <f t="shared" si="109"/>
        <v/>
      </c>
      <c r="U543" s="42" t="str">
        <f t="shared" si="110"/>
        <v/>
      </c>
      <c r="V543" s="61" t="str">
        <f t="shared" si="111"/>
        <v/>
      </c>
      <c r="W543" s="42" t="str">
        <f t="shared" si="112"/>
        <v/>
      </c>
      <c r="X543" s="41" t="str">
        <f>IF(J440="","",J440)</f>
        <v/>
      </c>
      <c r="Y543" s="40" t="str">
        <f t="shared" si="113"/>
        <v/>
      </c>
      <c r="Z543" s="47" t="str">
        <f>IF(K440="","",K440)</f>
        <v/>
      </c>
      <c r="AA543" s="47" t="str">
        <f t="shared" si="114"/>
        <v/>
      </c>
      <c r="AB543" s="47" t="str">
        <f t="shared" si="115"/>
        <v/>
      </c>
      <c r="AC543" s="47" t="str">
        <f t="shared" si="116"/>
        <v/>
      </c>
      <c r="AD543" s="47" t="str">
        <f t="shared" si="117"/>
        <v/>
      </c>
      <c r="AE543" s="47" t="str">
        <f>IF(L440="","",L440)</f>
        <v/>
      </c>
      <c r="AF543" s="40" t="str">
        <f>IF(Z543&lt;&gt;"",IF(AG312="",""")],","), ac("),"")</f>
        <v/>
      </c>
    </row>
    <row r="544" spans="1:32" ht="24.75" hidden="1" x14ac:dyDescent="0.4">
      <c r="A544" s="9" t="str">
        <f t="shared" si="66"/>
        <v>/* 64 */   [ac("", "cp0","")],</v>
      </c>
      <c r="B544" s="9">
        <f t="shared" si="83"/>
        <v>64</v>
      </c>
      <c r="C544" s="9" t="str">
        <f t="shared" si="101"/>
        <v/>
      </c>
      <c r="D544" s="39" t="str">
        <f t="shared" si="100"/>
        <v/>
      </c>
      <c r="E544" s="60" t="s">
        <v>52</v>
      </c>
      <c r="F544" s="63" t="str">
        <f>IF(E441="","",E441)</f>
        <v/>
      </c>
      <c r="G544" s="64" t="s">
        <v>53</v>
      </c>
      <c r="H544" s="63" t="str">
        <f t="shared" si="102"/>
        <v/>
      </c>
      <c r="I544" s="64" t="s">
        <v>54</v>
      </c>
      <c r="J544" s="48" t="str">
        <f>IF(F441="","",F441)</f>
        <v/>
      </c>
      <c r="K544" s="40" t="str">
        <f t="shared" si="103"/>
        <v/>
      </c>
      <c r="L544" s="50" t="str">
        <f>IF(G441="","",G441)</f>
        <v/>
      </c>
      <c r="M544" s="51" t="str">
        <f t="shared" si="104"/>
        <v/>
      </c>
      <c r="N544" s="52" t="str">
        <f t="shared" si="105"/>
        <v/>
      </c>
      <c r="O544" s="50" t="str">
        <f t="shared" si="106"/>
        <v/>
      </c>
      <c r="P544" s="52" t="str">
        <f t="shared" si="107"/>
        <v/>
      </c>
      <c r="Q544" s="54" t="str">
        <f>IF(H441="","",H441)</f>
        <v/>
      </c>
      <c r="R544" s="40" t="str">
        <f t="shared" si="108"/>
        <v/>
      </c>
      <c r="S544" s="63" t="str">
        <f>IF(I441="","",I441)</f>
        <v/>
      </c>
      <c r="T544" s="64" t="str">
        <f t="shared" si="109"/>
        <v/>
      </c>
      <c r="U544" s="64" t="str">
        <f t="shared" si="110"/>
        <v/>
      </c>
      <c r="V544" s="63" t="str">
        <f t="shared" si="111"/>
        <v/>
      </c>
      <c r="W544" s="64" t="str">
        <f t="shared" si="112"/>
        <v/>
      </c>
      <c r="X544" s="48" t="str">
        <f>IF(J441="","",J441)</f>
        <v/>
      </c>
      <c r="Y544" s="40" t="str">
        <f t="shared" si="113"/>
        <v/>
      </c>
      <c r="Z544" s="54" t="str">
        <f>IF(K441="","",K441)</f>
        <v/>
      </c>
      <c r="AA544" s="54" t="str">
        <f t="shared" si="114"/>
        <v/>
      </c>
      <c r="AB544" s="54" t="str">
        <f t="shared" si="115"/>
        <v/>
      </c>
      <c r="AC544" s="54" t="str">
        <f t="shared" si="116"/>
        <v/>
      </c>
      <c r="AD544" s="54" t="str">
        <f t="shared" si="117"/>
        <v/>
      </c>
      <c r="AE544" s="54" t="str">
        <f>IF(L441="","",L441)</f>
        <v/>
      </c>
      <c r="AF544" s="40" t="str">
        <f>IF(Z544&lt;&gt;"",IF(AG313="",""")],","), ac("),"")</f>
        <v/>
      </c>
    </row>
    <row r="545" spans="1:32" ht="24.75" hidden="1" x14ac:dyDescent="0.4">
      <c r="A545" s="9" t="str">
        <f t="shared" ref="A545:A581" si="118">_xlfn.CONCAT("/* ",B545, " */   ","[ac(""",""", ""","","cp0","""",","""")],")</f>
        <v>/* 65 */   [ac("", "cp0","")],</v>
      </c>
      <c r="B545" s="9">
        <f t="shared" si="83"/>
        <v>65</v>
      </c>
      <c r="C545" s="9" t="str">
        <f t="shared" si="101"/>
        <v/>
      </c>
      <c r="D545" s="39" t="str">
        <f t="shared" si="100"/>
        <v/>
      </c>
      <c r="E545" s="60" t="s">
        <v>52</v>
      </c>
      <c r="F545" s="61" t="str">
        <f>IF(E442="","",E442)</f>
        <v/>
      </c>
      <c r="G545" s="42" t="s">
        <v>53</v>
      </c>
      <c r="H545" s="61" t="str">
        <f t="shared" si="102"/>
        <v/>
      </c>
      <c r="I545" s="42" t="s">
        <v>54</v>
      </c>
      <c r="J545" s="41" t="str">
        <f>IF(F442="","",F442)</f>
        <v/>
      </c>
      <c r="K545" s="40" t="str">
        <f t="shared" si="103"/>
        <v/>
      </c>
      <c r="L545" s="43" t="str">
        <f>IF(G442="","",G442)</f>
        <v/>
      </c>
      <c r="M545" s="44" t="str">
        <f t="shared" si="104"/>
        <v/>
      </c>
      <c r="N545" s="45" t="str">
        <f t="shared" si="105"/>
        <v/>
      </c>
      <c r="O545" s="43" t="str">
        <f t="shared" si="106"/>
        <v/>
      </c>
      <c r="P545" s="45" t="str">
        <f t="shared" si="107"/>
        <v/>
      </c>
      <c r="Q545" s="47" t="str">
        <f>IF(H442="","",H442)</f>
        <v/>
      </c>
      <c r="R545" s="40" t="str">
        <f t="shared" si="108"/>
        <v/>
      </c>
      <c r="S545" s="61" t="str">
        <f>IF(I442="","",I442)</f>
        <v/>
      </c>
      <c r="T545" s="42" t="str">
        <f t="shared" si="109"/>
        <v/>
      </c>
      <c r="U545" s="42" t="str">
        <f t="shared" si="110"/>
        <v/>
      </c>
      <c r="V545" s="61" t="str">
        <f t="shared" si="111"/>
        <v/>
      </c>
      <c r="W545" s="42" t="str">
        <f t="shared" si="112"/>
        <v/>
      </c>
      <c r="X545" s="41" t="str">
        <f>IF(J442="","",J442)</f>
        <v/>
      </c>
      <c r="Y545" s="40" t="str">
        <f t="shared" si="113"/>
        <v/>
      </c>
      <c r="Z545" s="47" t="str">
        <f>IF(K442="","",K442)</f>
        <v/>
      </c>
      <c r="AA545" s="47" t="str">
        <f t="shared" si="114"/>
        <v/>
      </c>
      <c r="AB545" s="47" t="str">
        <f t="shared" si="115"/>
        <v/>
      </c>
      <c r="AC545" s="47" t="str">
        <f t="shared" si="116"/>
        <v/>
      </c>
      <c r="AD545" s="47" t="str">
        <f t="shared" si="117"/>
        <v/>
      </c>
      <c r="AE545" s="47" t="str">
        <f>IF(L442="","",L442)</f>
        <v/>
      </c>
      <c r="AF545" s="40" t="str">
        <f>IF(Z545&lt;&gt;"",IF(AG314="",""")],","), ac("),"")</f>
        <v/>
      </c>
    </row>
    <row r="546" spans="1:32" ht="24.75" hidden="1" x14ac:dyDescent="0.4">
      <c r="A546" s="9" t="str">
        <f t="shared" si="118"/>
        <v>/* 66 */   [ac("", "cp0","")],</v>
      </c>
      <c r="B546" s="9">
        <f t="shared" si="83"/>
        <v>66</v>
      </c>
      <c r="C546" s="9" t="str">
        <f t="shared" si="101"/>
        <v/>
      </c>
      <c r="D546" s="39" t="str">
        <f t="shared" si="100"/>
        <v/>
      </c>
      <c r="E546" s="60" t="s">
        <v>52</v>
      </c>
      <c r="F546" s="63" t="str">
        <f>IF(E443="","",E443)</f>
        <v/>
      </c>
      <c r="G546" s="64" t="s">
        <v>53</v>
      </c>
      <c r="H546" s="63" t="str">
        <f t="shared" si="102"/>
        <v/>
      </c>
      <c r="I546" s="64" t="s">
        <v>54</v>
      </c>
      <c r="J546" s="48" t="str">
        <f>IF(F443="","",F443)</f>
        <v/>
      </c>
      <c r="K546" s="40" t="str">
        <f t="shared" si="103"/>
        <v/>
      </c>
      <c r="L546" s="50" t="str">
        <f>IF(G443="","",G443)</f>
        <v/>
      </c>
      <c r="M546" s="51" t="str">
        <f t="shared" si="104"/>
        <v/>
      </c>
      <c r="N546" s="52" t="str">
        <f t="shared" si="105"/>
        <v/>
      </c>
      <c r="O546" s="50" t="str">
        <f t="shared" si="106"/>
        <v/>
      </c>
      <c r="P546" s="52" t="str">
        <f t="shared" si="107"/>
        <v/>
      </c>
      <c r="Q546" s="54" t="str">
        <f>IF(H443="","",H443)</f>
        <v/>
      </c>
      <c r="R546" s="40" t="str">
        <f t="shared" si="108"/>
        <v/>
      </c>
      <c r="S546" s="63" t="str">
        <f>IF(I443="","",I443)</f>
        <v/>
      </c>
      <c r="T546" s="64" t="str">
        <f t="shared" si="109"/>
        <v/>
      </c>
      <c r="U546" s="64" t="str">
        <f t="shared" si="110"/>
        <v/>
      </c>
      <c r="V546" s="63" t="str">
        <f t="shared" si="111"/>
        <v/>
      </c>
      <c r="W546" s="64" t="str">
        <f t="shared" si="112"/>
        <v/>
      </c>
      <c r="X546" s="48" t="str">
        <f>IF(J443="","",J443)</f>
        <v/>
      </c>
      <c r="Y546" s="40" t="str">
        <f t="shared" si="113"/>
        <v/>
      </c>
      <c r="Z546" s="54" t="str">
        <f>IF(K443="","",K443)</f>
        <v/>
      </c>
      <c r="AA546" s="54" t="str">
        <f t="shared" si="114"/>
        <v/>
      </c>
      <c r="AB546" s="54" t="str">
        <f t="shared" si="115"/>
        <v/>
      </c>
      <c r="AC546" s="54" t="str">
        <f t="shared" si="116"/>
        <v/>
      </c>
      <c r="AD546" s="54" t="str">
        <f t="shared" si="117"/>
        <v/>
      </c>
      <c r="AE546" s="54" t="str">
        <f>IF(L443="","",L443)</f>
        <v/>
      </c>
      <c r="AF546" s="40" t="str">
        <f>IF(Z546&lt;&gt;"",IF(AG315="",""")],","), ac("),"")</f>
        <v/>
      </c>
    </row>
    <row r="547" spans="1:32" ht="24.75" hidden="1" x14ac:dyDescent="0.4">
      <c r="A547" s="9" t="str">
        <f t="shared" si="118"/>
        <v>/* 67 */   [ac("", "cp0","")],</v>
      </c>
      <c r="B547" s="9">
        <f t="shared" ref="B547:B581" si="119">+B546+1</f>
        <v>67</v>
      </c>
      <c r="C547" s="9" t="str">
        <f t="shared" si="101"/>
        <v/>
      </c>
      <c r="D547" s="39" t="str">
        <f t="shared" si="100"/>
        <v/>
      </c>
      <c r="E547" s="60" t="s">
        <v>52</v>
      </c>
      <c r="F547" s="61" t="str">
        <f>IF(E444="","",E444)</f>
        <v/>
      </c>
      <c r="G547" s="42" t="s">
        <v>53</v>
      </c>
      <c r="H547" s="61" t="str">
        <f t="shared" si="102"/>
        <v/>
      </c>
      <c r="I547" s="42" t="s">
        <v>54</v>
      </c>
      <c r="J547" s="41" t="str">
        <f>IF(F444="","",F444)</f>
        <v/>
      </c>
      <c r="K547" s="40" t="str">
        <f t="shared" si="103"/>
        <v/>
      </c>
      <c r="L547" s="43" t="str">
        <f>IF(G444="","",G444)</f>
        <v/>
      </c>
      <c r="M547" s="44" t="str">
        <f t="shared" si="104"/>
        <v/>
      </c>
      <c r="N547" s="45" t="str">
        <f t="shared" si="105"/>
        <v/>
      </c>
      <c r="O547" s="43" t="str">
        <f t="shared" si="106"/>
        <v/>
      </c>
      <c r="P547" s="45" t="str">
        <f t="shared" si="107"/>
        <v/>
      </c>
      <c r="Q547" s="47" t="str">
        <f>IF(H444="","",H444)</f>
        <v/>
      </c>
      <c r="R547" s="40" t="str">
        <f t="shared" si="108"/>
        <v/>
      </c>
      <c r="S547" s="61" t="str">
        <f>IF(I444="","",I444)</f>
        <v/>
      </c>
      <c r="T547" s="42" t="str">
        <f t="shared" si="109"/>
        <v/>
      </c>
      <c r="U547" s="42" t="str">
        <f t="shared" si="110"/>
        <v/>
      </c>
      <c r="V547" s="61" t="str">
        <f t="shared" si="111"/>
        <v/>
      </c>
      <c r="W547" s="42" t="str">
        <f t="shared" si="112"/>
        <v/>
      </c>
      <c r="X547" s="41" t="str">
        <f>IF(J444="","",J444)</f>
        <v/>
      </c>
      <c r="Y547" s="40" t="str">
        <f t="shared" si="113"/>
        <v/>
      </c>
      <c r="Z547" s="47" t="str">
        <f>IF(K444="","",K444)</f>
        <v/>
      </c>
      <c r="AA547" s="47" t="str">
        <f t="shared" si="114"/>
        <v/>
      </c>
      <c r="AB547" s="47" t="str">
        <f t="shared" si="115"/>
        <v/>
      </c>
      <c r="AC547" s="47" t="str">
        <f t="shared" si="116"/>
        <v/>
      </c>
      <c r="AD547" s="47" t="str">
        <f t="shared" si="117"/>
        <v/>
      </c>
      <c r="AE547" s="47" t="str">
        <f>IF(L444="","",L444)</f>
        <v/>
      </c>
      <c r="AF547" s="40" t="str">
        <f>IF(Z547&lt;&gt;"",IF(AG316="",""")],","), ac("),"")</f>
        <v/>
      </c>
    </row>
    <row r="548" spans="1:32" ht="24.75" hidden="1" x14ac:dyDescent="0.4">
      <c r="A548" s="9" t="str">
        <f t="shared" si="118"/>
        <v>/* 68 */   [ac("", "cp0","")],</v>
      </c>
      <c r="B548" s="9">
        <f t="shared" si="119"/>
        <v>68</v>
      </c>
      <c r="C548" s="9" t="str">
        <f t="shared" si="101"/>
        <v/>
      </c>
      <c r="D548" s="39" t="str">
        <f t="shared" si="100"/>
        <v/>
      </c>
      <c r="E548" s="60" t="s">
        <v>52</v>
      </c>
      <c r="F548" s="63" t="str">
        <f>IF(E445="","",E445)</f>
        <v/>
      </c>
      <c r="G548" s="64" t="s">
        <v>53</v>
      </c>
      <c r="H548" s="63" t="str">
        <f t="shared" si="102"/>
        <v/>
      </c>
      <c r="I548" s="64" t="s">
        <v>54</v>
      </c>
      <c r="J548" s="48" t="str">
        <f>IF(F445="","",F445)</f>
        <v/>
      </c>
      <c r="K548" s="40" t="str">
        <f t="shared" si="103"/>
        <v/>
      </c>
      <c r="L548" s="50" t="str">
        <f>IF(G445="","",G445)</f>
        <v/>
      </c>
      <c r="M548" s="51" t="str">
        <f t="shared" si="104"/>
        <v/>
      </c>
      <c r="N548" s="52" t="str">
        <f t="shared" si="105"/>
        <v/>
      </c>
      <c r="O548" s="50" t="str">
        <f t="shared" si="106"/>
        <v/>
      </c>
      <c r="P548" s="52" t="str">
        <f t="shared" si="107"/>
        <v/>
      </c>
      <c r="Q548" s="54" t="str">
        <f>IF(H445="","",H445)</f>
        <v/>
      </c>
      <c r="R548" s="40" t="str">
        <f t="shared" si="108"/>
        <v/>
      </c>
      <c r="S548" s="63" t="str">
        <f>IF(I445="","",I445)</f>
        <v/>
      </c>
      <c r="T548" s="64" t="str">
        <f t="shared" si="109"/>
        <v/>
      </c>
      <c r="U548" s="64" t="str">
        <f t="shared" si="110"/>
        <v/>
      </c>
      <c r="V548" s="63" t="str">
        <f t="shared" si="111"/>
        <v/>
      </c>
      <c r="W548" s="64" t="str">
        <f t="shared" si="112"/>
        <v/>
      </c>
      <c r="X548" s="48" t="str">
        <f>IF(J445="","",J445)</f>
        <v/>
      </c>
      <c r="Y548" s="40" t="str">
        <f t="shared" si="113"/>
        <v/>
      </c>
      <c r="Z548" s="54" t="str">
        <f>IF(K445="","",K445)</f>
        <v/>
      </c>
      <c r="AA548" s="54" t="str">
        <f t="shared" si="114"/>
        <v/>
      </c>
      <c r="AB548" s="54" t="str">
        <f t="shared" si="115"/>
        <v/>
      </c>
      <c r="AC548" s="54" t="str">
        <f t="shared" si="116"/>
        <v/>
      </c>
      <c r="AD548" s="54" t="str">
        <f t="shared" si="117"/>
        <v/>
      </c>
      <c r="AE548" s="54" t="str">
        <f>IF(L445="","",L445)</f>
        <v/>
      </c>
      <c r="AF548" s="40" t="str">
        <f>IF(Z548&lt;&gt;"",IF(AG317="",""")],","), ac("),"")</f>
        <v/>
      </c>
    </row>
    <row r="549" spans="1:32" ht="24.75" hidden="1" x14ac:dyDescent="0.4">
      <c r="A549" s="9" t="str">
        <f t="shared" si="118"/>
        <v>/* 69 */   [ac("", "cp0","")],</v>
      </c>
      <c r="B549" s="9">
        <f t="shared" si="119"/>
        <v>69</v>
      </c>
      <c r="C549" s="9" t="str">
        <f t="shared" si="101"/>
        <v/>
      </c>
      <c r="D549" s="39" t="str">
        <f t="shared" si="100"/>
        <v/>
      </c>
      <c r="E549" s="60" t="s">
        <v>52</v>
      </c>
      <c r="F549" s="61" t="str">
        <f>IF(E446="","",E446)</f>
        <v/>
      </c>
      <c r="G549" s="42" t="s">
        <v>53</v>
      </c>
      <c r="H549" s="61" t="str">
        <f t="shared" si="102"/>
        <v/>
      </c>
      <c r="I549" s="42" t="s">
        <v>54</v>
      </c>
      <c r="J549" s="41" t="str">
        <f>IF(F446="","",F446)</f>
        <v/>
      </c>
      <c r="K549" s="40" t="str">
        <f t="shared" si="103"/>
        <v/>
      </c>
      <c r="L549" s="43" t="str">
        <f>IF(G446="","",G446)</f>
        <v/>
      </c>
      <c r="M549" s="44" t="str">
        <f t="shared" si="104"/>
        <v/>
      </c>
      <c r="N549" s="45" t="str">
        <f t="shared" si="105"/>
        <v/>
      </c>
      <c r="O549" s="43" t="str">
        <f t="shared" si="106"/>
        <v/>
      </c>
      <c r="P549" s="45" t="str">
        <f t="shared" si="107"/>
        <v/>
      </c>
      <c r="Q549" s="47" t="str">
        <f>IF(H446="","",H446)</f>
        <v/>
      </c>
      <c r="R549" s="40" t="str">
        <f t="shared" si="108"/>
        <v/>
      </c>
      <c r="S549" s="61" t="str">
        <f>IF(I446="","",I446)</f>
        <v/>
      </c>
      <c r="T549" s="42" t="str">
        <f t="shared" si="109"/>
        <v/>
      </c>
      <c r="U549" s="42" t="str">
        <f t="shared" si="110"/>
        <v/>
      </c>
      <c r="V549" s="61" t="str">
        <f t="shared" si="111"/>
        <v/>
      </c>
      <c r="W549" s="42" t="str">
        <f t="shared" si="112"/>
        <v/>
      </c>
      <c r="X549" s="41" t="str">
        <f>IF(J446="","",J446)</f>
        <v/>
      </c>
      <c r="Y549" s="40" t="str">
        <f t="shared" si="113"/>
        <v/>
      </c>
      <c r="Z549" s="47" t="str">
        <f>IF(K446="","",K446)</f>
        <v/>
      </c>
      <c r="AA549" s="47" t="str">
        <f t="shared" si="114"/>
        <v/>
      </c>
      <c r="AB549" s="47" t="str">
        <f t="shared" si="115"/>
        <v/>
      </c>
      <c r="AC549" s="47" t="str">
        <f t="shared" si="116"/>
        <v/>
      </c>
      <c r="AD549" s="47" t="str">
        <f t="shared" si="117"/>
        <v/>
      </c>
      <c r="AE549" s="47" t="str">
        <f>IF(L446="","",L446)</f>
        <v/>
      </c>
      <c r="AF549" s="40" t="str">
        <f>IF(Z549&lt;&gt;"",IF(AG318="",""")],","), ac("),"")</f>
        <v/>
      </c>
    </row>
    <row r="550" spans="1:32" ht="24.75" hidden="1" x14ac:dyDescent="0.4">
      <c r="A550" s="9" t="str">
        <f t="shared" si="118"/>
        <v>/* 70 */   [ac("", "cp0","")],</v>
      </c>
      <c r="B550" s="9">
        <f t="shared" si="119"/>
        <v>70</v>
      </c>
      <c r="C550" s="9" t="str">
        <f t="shared" si="101"/>
        <v/>
      </c>
      <c r="D550" s="39" t="str">
        <f t="shared" si="100"/>
        <v/>
      </c>
      <c r="E550" s="60" t="s">
        <v>52</v>
      </c>
      <c r="F550" s="63" t="str">
        <f>IF(E447="","",E447)</f>
        <v/>
      </c>
      <c r="G550" s="64" t="s">
        <v>53</v>
      </c>
      <c r="H550" s="63" t="str">
        <f t="shared" si="102"/>
        <v/>
      </c>
      <c r="I550" s="64" t="s">
        <v>54</v>
      </c>
      <c r="J550" s="48" t="str">
        <f>IF(F447="","",F447)</f>
        <v/>
      </c>
      <c r="K550" s="40" t="str">
        <f t="shared" si="103"/>
        <v/>
      </c>
      <c r="L550" s="50" t="str">
        <f>IF(G447="","",G447)</f>
        <v/>
      </c>
      <c r="M550" s="51" t="str">
        <f t="shared" si="104"/>
        <v/>
      </c>
      <c r="N550" s="52" t="str">
        <f t="shared" si="105"/>
        <v/>
      </c>
      <c r="O550" s="50" t="str">
        <f t="shared" si="106"/>
        <v/>
      </c>
      <c r="P550" s="52" t="str">
        <f t="shared" si="107"/>
        <v/>
      </c>
      <c r="Q550" s="54" t="str">
        <f>IF(H447="","",H447)</f>
        <v/>
      </c>
      <c r="R550" s="40" t="str">
        <f t="shared" si="108"/>
        <v/>
      </c>
      <c r="S550" s="63" t="str">
        <f>IF(I447="","",I447)</f>
        <v/>
      </c>
      <c r="T550" s="64" t="str">
        <f t="shared" si="109"/>
        <v/>
      </c>
      <c r="U550" s="64" t="str">
        <f t="shared" si="110"/>
        <v/>
      </c>
      <c r="V550" s="63" t="str">
        <f t="shared" si="111"/>
        <v/>
      </c>
      <c r="W550" s="64" t="str">
        <f t="shared" si="112"/>
        <v/>
      </c>
      <c r="X550" s="48" t="str">
        <f>IF(J447="","",J447)</f>
        <v/>
      </c>
      <c r="Y550" s="40" t="str">
        <f t="shared" si="113"/>
        <v/>
      </c>
      <c r="Z550" s="54" t="str">
        <f>IF(K447="","",K447)</f>
        <v/>
      </c>
      <c r="AA550" s="54" t="str">
        <f t="shared" si="114"/>
        <v/>
      </c>
      <c r="AB550" s="54" t="str">
        <f t="shared" si="115"/>
        <v/>
      </c>
      <c r="AC550" s="54" t="str">
        <f t="shared" si="116"/>
        <v/>
      </c>
      <c r="AD550" s="54" t="str">
        <f t="shared" si="117"/>
        <v/>
      </c>
      <c r="AE550" s="54" t="str">
        <f>IF(L447="","",L447)</f>
        <v/>
      </c>
      <c r="AF550" s="40" t="str">
        <f>IF(Z550&lt;&gt;"",IF(AG319="",""")],","), ac("),"")</f>
        <v/>
      </c>
    </row>
    <row r="551" spans="1:32" ht="24.75" hidden="1" x14ac:dyDescent="0.4">
      <c r="A551" s="9" t="str">
        <f t="shared" si="118"/>
        <v>/* 71 */   [ac("", "cp0","")],</v>
      </c>
      <c r="B551" s="9">
        <f t="shared" si="119"/>
        <v>71</v>
      </c>
      <c r="C551" s="9" t="str">
        <f t="shared" si="101"/>
        <v/>
      </c>
      <c r="D551" s="39" t="str">
        <f t="shared" si="100"/>
        <v/>
      </c>
      <c r="E551" s="60" t="s">
        <v>52</v>
      </c>
      <c r="F551" s="61" t="str">
        <f>IF(E448="","",E448)</f>
        <v/>
      </c>
      <c r="G551" s="42" t="s">
        <v>53</v>
      </c>
      <c r="H551" s="61" t="str">
        <f t="shared" si="102"/>
        <v/>
      </c>
      <c r="I551" s="42" t="s">
        <v>54</v>
      </c>
      <c r="J551" s="41" t="str">
        <f>IF(F448="","",F448)</f>
        <v/>
      </c>
      <c r="K551" s="40" t="str">
        <f t="shared" si="103"/>
        <v/>
      </c>
      <c r="L551" s="43" t="str">
        <f>IF(G448="","",G448)</f>
        <v/>
      </c>
      <c r="M551" s="44" t="str">
        <f t="shared" si="104"/>
        <v/>
      </c>
      <c r="N551" s="45" t="str">
        <f t="shared" si="105"/>
        <v/>
      </c>
      <c r="O551" s="43" t="str">
        <f t="shared" si="106"/>
        <v/>
      </c>
      <c r="P551" s="45" t="str">
        <f t="shared" si="107"/>
        <v/>
      </c>
      <c r="Q551" s="47" t="str">
        <f>IF(H448="","",H448)</f>
        <v/>
      </c>
      <c r="R551" s="40" t="str">
        <f t="shared" si="108"/>
        <v/>
      </c>
      <c r="S551" s="61" t="str">
        <f>IF(I448="","",I448)</f>
        <v/>
      </c>
      <c r="T551" s="42" t="str">
        <f t="shared" si="109"/>
        <v/>
      </c>
      <c r="U551" s="42" t="str">
        <f t="shared" si="110"/>
        <v/>
      </c>
      <c r="V551" s="61" t="str">
        <f t="shared" si="111"/>
        <v/>
      </c>
      <c r="W551" s="42" t="str">
        <f t="shared" si="112"/>
        <v/>
      </c>
      <c r="X551" s="41" t="str">
        <f>IF(J448="","",J448)</f>
        <v/>
      </c>
      <c r="Y551" s="40" t="str">
        <f t="shared" si="113"/>
        <v/>
      </c>
      <c r="Z551" s="47" t="str">
        <f>IF(K448="","",K448)</f>
        <v/>
      </c>
      <c r="AA551" s="47" t="str">
        <f t="shared" si="114"/>
        <v/>
      </c>
      <c r="AB551" s="47" t="str">
        <f t="shared" si="115"/>
        <v/>
      </c>
      <c r="AC551" s="47" t="str">
        <f t="shared" si="116"/>
        <v/>
      </c>
      <c r="AD551" s="47" t="str">
        <f t="shared" si="117"/>
        <v/>
      </c>
      <c r="AE551" s="47" t="str">
        <f>IF(L448="","",L448)</f>
        <v/>
      </c>
      <c r="AF551" s="40" t="str">
        <f>IF(Z551&lt;&gt;"",IF(AG320="",""")],","), ac("),"")</f>
        <v/>
      </c>
    </row>
    <row r="552" spans="1:32" ht="24.75" hidden="1" x14ac:dyDescent="0.4">
      <c r="A552" s="9" t="str">
        <f t="shared" si="118"/>
        <v>/* 72 */   [ac("", "cp0","")],</v>
      </c>
      <c r="B552" s="9">
        <f t="shared" si="119"/>
        <v>72</v>
      </c>
      <c r="C552" s="9" t="str">
        <f t="shared" si="101"/>
        <v/>
      </c>
      <c r="D552" s="39" t="str">
        <f t="shared" si="100"/>
        <v/>
      </c>
      <c r="E552" s="60" t="s">
        <v>52</v>
      </c>
      <c r="F552" s="63" t="str">
        <f>IF(E449="","",E449)</f>
        <v/>
      </c>
      <c r="G552" s="64" t="s">
        <v>53</v>
      </c>
      <c r="H552" s="63" t="str">
        <f t="shared" si="102"/>
        <v/>
      </c>
      <c r="I552" s="64" t="s">
        <v>54</v>
      </c>
      <c r="J552" s="48" t="str">
        <f>IF(F449="","",F449)</f>
        <v/>
      </c>
      <c r="K552" s="40" t="str">
        <f t="shared" si="103"/>
        <v/>
      </c>
      <c r="L552" s="50" t="str">
        <f>IF(G449="","",G449)</f>
        <v/>
      </c>
      <c r="M552" s="51" t="str">
        <f t="shared" si="104"/>
        <v/>
      </c>
      <c r="N552" s="52" t="str">
        <f t="shared" si="105"/>
        <v/>
      </c>
      <c r="O552" s="50" t="str">
        <f t="shared" si="106"/>
        <v/>
      </c>
      <c r="P552" s="52" t="str">
        <f t="shared" si="107"/>
        <v/>
      </c>
      <c r="Q552" s="54" t="str">
        <f>IF(H449="","",H449)</f>
        <v/>
      </c>
      <c r="R552" s="40" t="str">
        <f t="shared" si="108"/>
        <v/>
      </c>
      <c r="S552" s="63" t="str">
        <f>IF(I449="","",I449)</f>
        <v/>
      </c>
      <c r="T552" s="64" t="str">
        <f t="shared" si="109"/>
        <v/>
      </c>
      <c r="U552" s="64" t="str">
        <f t="shared" si="110"/>
        <v/>
      </c>
      <c r="V552" s="63" t="str">
        <f t="shared" si="111"/>
        <v/>
      </c>
      <c r="W552" s="64" t="str">
        <f t="shared" si="112"/>
        <v/>
      </c>
      <c r="X552" s="48" t="str">
        <f>IF(J449="","",J449)</f>
        <v/>
      </c>
      <c r="Y552" s="40" t="str">
        <f t="shared" si="113"/>
        <v/>
      </c>
      <c r="Z552" s="54" t="str">
        <f>IF(K449="","",K449)</f>
        <v/>
      </c>
      <c r="AA552" s="54" t="str">
        <f t="shared" si="114"/>
        <v/>
      </c>
      <c r="AB552" s="54" t="str">
        <f t="shared" si="115"/>
        <v/>
      </c>
      <c r="AC552" s="54" t="str">
        <f t="shared" si="116"/>
        <v/>
      </c>
      <c r="AD552" s="54" t="str">
        <f t="shared" si="117"/>
        <v/>
      </c>
      <c r="AE552" s="54" t="str">
        <f>IF(L449="","",L449)</f>
        <v/>
      </c>
      <c r="AF552" s="40" t="str">
        <f>IF(Z552&lt;&gt;"",IF(AG321="",""")],","), ac("),"")</f>
        <v/>
      </c>
    </row>
    <row r="553" spans="1:32" ht="24.75" hidden="1" x14ac:dyDescent="0.4">
      <c r="A553" s="9" t="str">
        <f t="shared" si="118"/>
        <v>/* 73 */   [ac("", "cp0","")],</v>
      </c>
      <c r="B553" s="9">
        <f t="shared" si="119"/>
        <v>73</v>
      </c>
      <c r="C553" s="9" t="str">
        <f t="shared" si="101"/>
        <v/>
      </c>
      <c r="D553" s="39" t="str">
        <f t="shared" si="100"/>
        <v/>
      </c>
      <c r="E553" s="60" t="s">
        <v>52</v>
      </c>
      <c r="F553" s="61" t="str">
        <f>IF(E450="","",E450)</f>
        <v/>
      </c>
      <c r="G553" s="42" t="s">
        <v>53</v>
      </c>
      <c r="H553" s="61" t="str">
        <f t="shared" si="102"/>
        <v/>
      </c>
      <c r="I553" s="42" t="s">
        <v>54</v>
      </c>
      <c r="J553" s="41" t="str">
        <f>IF(F450="","",F450)</f>
        <v/>
      </c>
      <c r="K553" s="40" t="str">
        <f t="shared" si="103"/>
        <v/>
      </c>
      <c r="L553" s="43" t="str">
        <f>IF(G450="","",G450)</f>
        <v/>
      </c>
      <c r="M553" s="44" t="str">
        <f t="shared" si="104"/>
        <v/>
      </c>
      <c r="N553" s="45" t="str">
        <f t="shared" si="105"/>
        <v/>
      </c>
      <c r="O553" s="43" t="str">
        <f t="shared" si="106"/>
        <v/>
      </c>
      <c r="P553" s="45" t="str">
        <f t="shared" si="107"/>
        <v/>
      </c>
      <c r="Q553" s="47" t="str">
        <f>IF(H450="","",H450)</f>
        <v/>
      </c>
      <c r="R553" s="40" t="str">
        <f t="shared" si="108"/>
        <v/>
      </c>
      <c r="S553" s="61" t="str">
        <f>IF(I450="","",I450)</f>
        <v/>
      </c>
      <c r="T553" s="42" t="str">
        <f t="shared" si="109"/>
        <v/>
      </c>
      <c r="U553" s="42" t="str">
        <f t="shared" si="110"/>
        <v/>
      </c>
      <c r="V553" s="61" t="str">
        <f t="shared" si="111"/>
        <v/>
      </c>
      <c r="W553" s="42" t="str">
        <f t="shared" si="112"/>
        <v/>
      </c>
      <c r="X553" s="41" t="str">
        <f>IF(J450="","",J450)</f>
        <v/>
      </c>
      <c r="Y553" s="40" t="str">
        <f t="shared" si="113"/>
        <v/>
      </c>
      <c r="Z553" s="47" t="str">
        <f>IF(K450="","",K450)</f>
        <v/>
      </c>
      <c r="AA553" s="47" t="str">
        <f t="shared" si="114"/>
        <v/>
      </c>
      <c r="AB553" s="47" t="str">
        <f t="shared" si="115"/>
        <v/>
      </c>
      <c r="AC553" s="47" t="str">
        <f t="shared" si="116"/>
        <v/>
      </c>
      <c r="AD553" s="47" t="str">
        <f t="shared" si="117"/>
        <v/>
      </c>
      <c r="AE553" s="47" t="str">
        <f>IF(L450="","",L450)</f>
        <v/>
      </c>
      <c r="AF553" s="40" t="str">
        <f>IF(Z553&lt;&gt;"",IF(AG322="",""")],","), ac("),"")</f>
        <v/>
      </c>
    </row>
    <row r="554" spans="1:32" ht="24.75" hidden="1" x14ac:dyDescent="0.4">
      <c r="A554" s="9" t="str">
        <f t="shared" si="118"/>
        <v>/* 74 */   [ac("", "cp0","")],</v>
      </c>
      <c r="B554" s="9">
        <f t="shared" si="119"/>
        <v>74</v>
      </c>
      <c r="C554" s="9" t="str">
        <f t="shared" si="101"/>
        <v/>
      </c>
      <c r="D554" s="39" t="str">
        <f t="shared" si="100"/>
        <v/>
      </c>
      <c r="E554" s="60" t="s">
        <v>52</v>
      </c>
      <c r="F554" s="63" t="str">
        <f>IF(E451="","",E451)</f>
        <v/>
      </c>
      <c r="G554" s="64" t="s">
        <v>53</v>
      </c>
      <c r="H554" s="63" t="str">
        <f t="shared" si="102"/>
        <v/>
      </c>
      <c r="I554" s="64" t="s">
        <v>54</v>
      </c>
      <c r="J554" s="48" t="str">
        <f>IF(F451="","",F451)</f>
        <v/>
      </c>
      <c r="K554" s="40" t="str">
        <f t="shared" si="103"/>
        <v/>
      </c>
      <c r="L554" s="50" t="str">
        <f>IF(G451="","",G451)</f>
        <v/>
      </c>
      <c r="M554" s="51" t="str">
        <f t="shared" si="104"/>
        <v/>
      </c>
      <c r="N554" s="52" t="str">
        <f t="shared" si="105"/>
        <v/>
      </c>
      <c r="O554" s="50" t="str">
        <f t="shared" si="106"/>
        <v/>
      </c>
      <c r="P554" s="52" t="str">
        <f t="shared" si="107"/>
        <v/>
      </c>
      <c r="Q554" s="54" t="str">
        <f>IF(H451="","",H451)</f>
        <v/>
      </c>
      <c r="R554" s="40" t="str">
        <f t="shared" si="108"/>
        <v/>
      </c>
      <c r="S554" s="63" t="str">
        <f>IF(I451="","",I451)</f>
        <v/>
      </c>
      <c r="T554" s="64" t="str">
        <f t="shared" si="109"/>
        <v/>
      </c>
      <c r="U554" s="64" t="str">
        <f t="shared" si="110"/>
        <v/>
      </c>
      <c r="V554" s="63" t="str">
        <f t="shared" si="111"/>
        <v/>
      </c>
      <c r="W554" s="64" t="str">
        <f t="shared" si="112"/>
        <v/>
      </c>
      <c r="X554" s="48" t="str">
        <f>IF(J451="","",J451)</f>
        <v/>
      </c>
      <c r="Y554" s="40" t="str">
        <f t="shared" si="113"/>
        <v/>
      </c>
      <c r="Z554" s="54" t="str">
        <f>IF(K451="","",K451)</f>
        <v/>
      </c>
      <c r="AA554" s="54" t="str">
        <f t="shared" si="114"/>
        <v/>
      </c>
      <c r="AB554" s="54" t="str">
        <f t="shared" si="115"/>
        <v/>
      </c>
      <c r="AC554" s="54" t="str">
        <f t="shared" si="116"/>
        <v/>
      </c>
      <c r="AD554" s="54" t="str">
        <f t="shared" si="117"/>
        <v/>
      </c>
      <c r="AE554" s="54" t="str">
        <f>IF(L451="","",L451)</f>
        <v/>
      </c>
      <c r="AF554" s="40" t="str">
        <f>IF(Z554&lt;&gt;"",IF(AG323="",""")],","), ac("),"")</f>
        <v/>
      </c>
    </row>
    <row r="555" spans="1:32" ht="24.75" hidden="1" x14ac:dyDescent="0.4">
      <c r="A555" s="9" t="str">
        <f t="shared" si="118"/>
        <v>/* 75 */   [ac("", "cp0","")],</v>
      </c>
      <c r="B555" s="9">
        <f t="shared" si="119"/>
        <v>75</v>
      </c>
      <c r="C555" s="9" t="str">
        <f t="shared" si="101"/>
        <v/>
      </c>
      <c r="D555" s="39" t="str">
        <f t="shared" si="100"/>
        <v/>
      </c>
      <c r="E555" s="60" t="s">
        <v>52</v>
      </c>
      <c r="F555" s="61" t="str">
        <f>IF(E452="","",E452)</f>
        <v/>
      </c>
      <c r="G555" s="42" t="s">
        <v>53</v>
      </c>
      <c r="H555" s="61" t="str">
        <f t="shared" si="102"/>
        <v/>
      </c>
      <c r="I555" s="42" t="s">
        <v>54</v>
      </c>
      <c r="J555" s="41" t="str">
        <f>IF(F452="","",F452)</f>
        <v/>
      </c>
      <c r="K555" s="40" t="str">
        <f t="shared" si="103"/>
        <v/>
      </c>
      <c r="L555" s="43" t="str">
        <f>IF(G452="","",G452)</f>
        <v/>
      </c>
      <c r="M555" s="44" t="str">
        <f t="shared" si="104"/>
        <v/>
      </c>
      <c r="N555" s="45" t="str">
        <f t="shared" si="105"/>
        <v/>
      </c>
      <c r="O555" s="43" t="str">
        <f t="shared" si="106"/>
        <v/>
      </c>
      <c r="P555" s="45" t="str">
        <f t="shared" si="107"/>
        <v/>
      </c>
      <c r="Q555" s="47" t="str">
        <f>IF(H452="","",H452)</f>
        <v/>
      </c>
      <c r="R555" s="40" t="str">
        <f t="shared" si="108"/>
        <v/>
      </c>
      <c r="S555" s="61" t="str">
        <f>IF(I452="","",I452)</f>
        <v/>
      </c>
      <c r="T555" s="42" t="str">
        <f t="shared" si="109"/>
        <v/>
      </c>
      <c r="U555" s="42" t="str">
        <f t="shared" si="110"/>
        <v/>
      </c>
      <c r="V555" s="61" t="str">
        <f t="shared" si="111"/>
        <v/>
      </c>
      <c r="W555" s="42" t="str">
        <f t="shared" si="112"/>
        <v/>
      </c>
      <c r="X555" s="41" t="str">
        <f>IF(J452="","",J452)</f>
        <v/>
      </c>
      <c r="Y555" s="40" t="str">
        <f t="shared" si="113"/>
        <v/>
      </c>
      <c r="Z555" s="47" t="str">
        <f>IF(K452="","",K452)</f>
        <v/>
      </c>
      <c r="AA555" s="47" t="str">
        <f t="shared" si="114"/>
        <v/>
      </c>
      <c r="AB555" s="47" t="str">
        <f t="shared" si="115"/>
        <v/>
      </c>
      <c r="AC555" s="47" t="str">
        <f t="shared" si="116"/>
        <v/>
      </c>
      <c r="AD555" s="47" t="str">
        <f t="shared" si="117"/>
        <v/>
      </c>
      <c r="AE555" s="47" t="str">
        <f>IF(L452="","",L452)</f>
        <v/>
      </c>
      <c r="AF555" s="40" t="str">
        <f>IF(Z555&lt;&gt;"",IF(AG324="",""")],","), ac("),"")</f>
        <v/>
      </c>
    </row>
    <row r="556" spans="1:32" ht="24.75" hidden="1" x14ac:dyDescent="0.4">
      <c r="A556" s="9" t="str">
        <f t="shared" si="118"/>
        <v>/* 76 */   [ac("", "cp0","")],</v>
      </c>
      <c r="B556" s="9">
        <f t="shared" si="119"/>
        <v>76</v>
      </c>
      <c r="C556" s="9" t="str">
        <f t="shared" si="101"/>
        <v/>
      </c>
      <c r="D556" s="39" t="str">
        <f t="shared" si="100"/>
        <v/>
      </c>
      <c r="E556" s="60" t="s">
        <v>52</v>
      </c>
      <c r="F556" s="63" t="str">
        <f>IF(E453="","",E453)</f>
        <v/>
      </c>
      <c r="G556" s="64" t="s">
        <v>53</v>
      </c>
      <c r="H556" s="63" t="str">
        <f t="shared" si="102"/>
        <v/>
      </c>
      <c r="I556" s="64" t="s">
        <v>54</v>
      </c>
      <c r="J556" s="48" t="str">
        <f>IF(F453="","",F453)</f>
        <v/>
      </c>
      <c r="K556" s="40" t="str">
        <f t="shared" si="103"/>
        <v/>
      </c>
      <c r="L556" s="50" t="str">
        <f>IF(G453="","",G453)</f>
        <v/>
      </c>
      <c r="M556" s="51" t="str">
        <f t="shared" si="104"/>
        <v/>
      </c>
      <c r="N556" s="52" t="str">
        <f t="shared" si="105"/>
        <v/>
      </c>
      <c r="O556" s="50" t="str">
        <f t="shared" si="106"/>
        <v/>
      </c>
      <c r="P556" s="52" t="str">
        <f t="shared" si="107"/>
        <v/>
      </c>
      <c r="Q556" s="54" t="str">
        <f>IF(H453="","",H453)</f>
        <v/>
      </c>
      <c r="R556" s="40" t="str">
        <f t="shared" si="108"/>
        <v/>
      </c>
      <c r="S556" s="63" t="str">
        <f>IF(I453="","",I453)</f>
        <v/>
      </c>
      <c r="T556" s="64" t="str">
        <f t="shared" si="109"/>
        <v/>
      </c>
      <c r="U556" s="64" t="str">
        <f t="shared" si="110"/>
        <v/>
      </c>
      <c r="V556" s="63" t="str">
        <f t="shared" si="111"/>
        <v/>
      </c>
      <c r="W556" s="64" t="str">
        <f t="shared" si="112"/>
        <v/>
      </c>
      <c r="X556" s="48" t="str">
        <f>IF(J453="","",J453)</f>
        <v/>
      </c>
      <c r="Y556" s="40" t="str">
        <f t="shared" si="113"/>
        <v/>
      </c>
      <c r="Z556" s="54" t="str">
        <f>IF(K453="","",K453)</f>
        <v/>
      </c>
      <c r="AA556" s="54" t="str">
        <f t="shared" si="114"/>
        <v/>
      </c>
      <c r="AB556" s="54" t="str">
        <f t="shared" si="115"/>
        <v/>
      </c>
      <c r="AC556" s="54" t="str">
        <f t="shared" si="116"/>
        <v/>
      </c>
      <c r="AD556" s="54" t="str">
        <f t="shared" si="117"/>
        <v/>
      </c>
      <c r="AE556" s="54" t="str">
        <f>IF(L453="","",L453)</f>
        <v/>
      </c>
      <c r="AF556" s="40" t="str">
        <f>IF(Z556&lt;&gt;"",IF(AG325="",""")],","), ac("),"")</f>
        <v/>
      </c>
    </row>
    <row r="557" spans="1:32" ht="24.75" hidden="1" x14ac:dyDescent="0.4">
      <c r="A557" s="9" t="str">
        <f t="shared" si="118"/>
        <v>/* 77 */   [ac("", "cp0","")],</v>
      </c>
      <c r="B557" s="9">
        <f t="shared" si="119"/>
        <v>77</v>
      </c>
      <c r="C557" s="9" t="str">
        <f t="shared" si="101"/>
        <v/>
      </c>
      <c r="D557" s="39" t="str">
        <f t="shared" si="100"/>
        <v/>
      </c>
      <c r="E557" s="60" t="s">
        <v>52</v>
      </c>
      <c r="F557" s="61" t="str">
        <f>IF(E454="","",E454)</f>
        <v/>
      </c>
      <c r="G557" s="42" t="s">
        <v>53</v>
      </c>
      <c r="H557" s="61" t="str">
        <f t="shared" si="102"/>
        <v/>
      </c>
      <c r="I557" s="42" t="s">
        <v>54</v>
      </c>
      <c r="J557" s="41" t="str">
        <f>IF(F454="","",F454)</f>
        <v/>
      </c>
      <c r="K557" s="40" t="str">
        <f t="shared" si="103"/>
        <v/>
      </c>
      <c r="L557" s="43" t="str">
        <f>IF(G454="","",G454)</f>
        <v/>
      </c>
      <c r="M557" s="44" t="str">
        <f t="shared" si="104"/>
        <v/>
      </c>
      <c r="N557" s="45" t="str">
        <f t="shared" si="105"/>
        <v/>
      </c>
      <c r="O557" s="43" t="str">
        <f t="shared" si="106"/>
        <v/>
      </c>
      <c r="P557" s="45" t="str">
        <f t="shared" si="107"/>
        <v/>
      </c>
      <c r="Q557" s="47" t="str">
        <f>IF(H454="","",H454)</f>
        <v/>
      </c>
      <c r="R557" s="40" t="str">
        <f t="shared" si="108"/>
        <v/>
      </c>
      <c r="S557" s="61" t="str">
        <f>IF(I454="","",I454)</f>
        <v/>
      </c>
      <c r="T557" s="42" t="str">
        <f t="shared" si="109"/>
        <v/>
      </c>
      <c r="U557" s="42" t="str">
        <f t="shared" si="110"/>
        <v/>
      </c>
      <c r="V557" s="61" t="str">
        <f t="shared" si="111"/>
        <v/>
      </c>
      <c r="W557" s="42" t="str">
        <f t="shared" si="112"/>
        <v/>
      </c>
      <c r="X557" s="41" t="str">
        <f>IF(J454="","",J454)</f>
        <v/>
      </c>
      <c r="Y557" s="40" t="str">
        <f t="shared" si="113"/>
        <v/>
      </c>
      <c r="Z557" s="47" t="str">
        <f>IF(K454="","",K454)</f>
        <v/>
      </c>
      <c r="AA557" s="47" t="str">
        <f t="shared" si="114"/>
        <v/>
      </c>
      <c r="AB557" s="47" t="str">
        <f t="shared" si="115"/>
        <v/>
      </c>
      <c r="AC557" s="47" t="str">
        <f t="shared" si="116"/>
        <v/>
      </c>
      <c r="AD557" s="47" t="str">
        <f t="shared" si="117"/>
        <v/>
      </c>
      <c r="AE557" s="47" t="str">
        <f>IF(L454="","",L454)</f>
        <v/>
      </c>
      <c r="AF557" s="40" t="str">
        <f>IF(Z557&lt;&gt;"",IF(AG326="",""")],","), ac("),"")</f>
        <v/>
      </c>
    </row>
    <row r="558" spans="1:32" ht="24.75" hidden="1" x14ac:dyDescent="0.4">
      <c r="A558" s="9" t="str">
        <f t="shared" si="118"/>
        <v>/* 78 */   [ac("", "cp0","")],</v>
      </c>
      <c r="B558" s="9">
        <f t="shared" si="119"/>
        <v>78</v>
      </c>
      <c r="C558" s="9" t="str">
        <f t="shared" si="101"/>
        <v/>
      </c>
      <c r="D558" s="39" t="str">
        <f t="shared" si="100"/>
        <v/>
      </c>
      <c r="E558" s="60" t="s">
        <v>52</v>
      </c>
      <c r="F558" s="63" t="str">
        <f>IF(E455="","",E455)</f>
        <v/>
      </c>
      <c r="G558" s="64" t="s">
        <v>53</v>
      </c>
      <c r="H558" s="63" t="str">
        <f t="shared" si="102"/>
        <v/>
      </c>
      <c r="I558" s="64" t="s">
        <v>54</v>
      </c>
      <c r="J558" s="48" t="str">
        <f>IF(F455="","",F455)</f>
        <v/>
      </c>
      <c r="K558" s="40" t="str">
        <f t="shared" si="103"/>
        <v/>
      </c>
      <c r="L558" s="50" t="str">
        <f>IF(G455="","",G455)</f>
        <v/>
      </c>
      <c r="M558" s="51" t="str">
        <f t="shared" si="104"/>
        <v/>
      </c>
      <c r="N558" s="52" t="str">
        <f t="shared" si="105"/>
        <v/>
      </c>
      <c r="O558" s="50" t="str">
        <f t="shared" si="106"/>
        <v/>
      </c>
      <c r="P558" s="52" t="str">
        <f t="shared" si="107"/>
        <v/>
      </c>
      <c r="Q558" s="54" t="str">
        <f>IF(H455="","",H455)</f>
        <v/>
      </c>
      <c r="R558" s="40" t="str">
        <f t="shared" si="108"/>
        <v/>
      </c>
      <c r="S558" s="63" t="str">
        <f>IF(I455="","",I455)</f>
        <v/>
      </c>
      <c r="T558" s="64" t="str">
        <f t="shared" si="109"/>
        <v/>
      </c>
      <c r="U558" s="64" t="str">
        <f t="shared" si="110"/>
        <v/>
      </c>
      <c r="V558" s="63" t="str">
        <f t="shared" si="111"/>
        <v/>
      </c>
      <c r="W558" s="64" t="str">
        <f t="shared" si="112"/>
        <v/>
      </c>
      <c r="X558" s="48" t="str">
        <f>IF(J455="","",J455)</f>
        <v/>
      </c>
      <c r="Y558" s="40" t="str">
        <f t="shared" si="113"/>
        <v/>
      </c>
      <c r="Z558" s="54" t="str">
        <f>IF(K455="","",K455)</f>
        <v/>
      </c>
      <c r="AA558" s="54" t="str">
        <f t="shared" si="114"/>
        <v/>
      </c>
      <c r="AB558" s="54" t="str">
        <f t="shared" si="115"/>
        <v/>
      </c>
      <c r="AC558" s="54" t="str">
        <f t="shared" si="116"/>
        <v/>
      </c>
      <c r="AD558" s="54" t="str">
        <f t="shared" si="117"/>
        <v/>
      </c>
      <c r="AE558" s="54" t="str">
        <f>IF(L455="","",L455)</f>
        <v/>
      </c>
      <c r="AF558" s="40" t="str">
        <f>IF(Z558&lt;&gt;"",IF(AG327="",""")],","), ac("),"")</f>
        <v/>
      </c>
    </row>
    <row r="559" spans="1:32" ht="24.75" hidden="1" x14ac:dyDescent="0.4">
      <c r="A559" s="9" t="str">
        <f t="shared" si="118"/>
        <v>/* 79 */   [ac("", "cp0","")],</v>
      </c>
      <c r="B559" s="9">
        <f t="shared" si="119"/>
        <v>79</v>
      </c>
      <c r="C559" s="9" t="str">
        <f t="shared" si="101"/>
        <v/>
      </c>
      <c r="D559" s="39" t="str">
        <f t="shared" si="100"/>
        <v/>
      </c>
      <c r="E559" s="60" t="s">
        <v>52</v>
      </c>
      <c r="F559" s="61" t="str">
        <f>IF(E456="","",E456)</f>
        <v/>
      </c>
      <c r="G559" s="42" t="s">
        <v>53</v>
      </c>
      <c r="H559" s="61" t="str">
        <f t="shared" si="102"/>
        <v/>
      </c>
      <c r="I559" s="42" t="s">
        <v>54</v>
      </c>
      <c r="J559" s="41" t="str">
        <f>IF(F456="","",F456)</f>
        <v/>
      </c>
      <c r="K559" s="40" t="str">
        <f t="shared" si="103"/>
        <v/>
      </c>
      <c r="L559" s="43" t="str">
        <f>IF(G456="","",G456)</f>
        <v/>
      </c>
      <c r="M559" s="44" t="str">
        <f t="shared" si="104"/>
        <v/>
      </c>
      <c r="N559" s="45" t="str">
        <f t="shared" si="105"/>
        <v/>
      </c>
      <c r="O559" s="43" t="str">
        <f t="shared" si="106"/>
        <v/>
      </c>
      <c r="P559" s="45" t="str">
        <f t="shared" si="107"/>
        <v/>
      </c>
      <c r="Q559" s="47" t="str">
        <f>IF(H456="","",H456)</f>
        <v/>
      </c>
      <c r="R559" s="40" t="str">
        <f t="shared" si="108"/>
        <v/>
      </c>
      <c r="S559" s="61" t="str">
        <f>IF(I456="","",I456)</f>
        <v/>
      </c>
      <c r="T559" s="42" t="str">
        <f t="shared" si="109"/>
        <v/>
      </c>
      <c r="U559" s="42" t="str">
        <f t="shared" si="110"/>
        <v/>
      </c>
      <c r="V559" s="61" t="str">
        <f t="shared" si="111"/>
        <v/>
      </c>
      <c r="W559" s="42" t="str">
        <f t="shared" si="112"/>
        <v/>
      </c>
      <c r="X559" s="41" t="str">
        <f>IF(J456="","",J456)</f>
        <v/>
      </c>
      <c r="Y559" s="40" t="str">
        <f t="shared" si="113"/>
        <v/>
      </c>
      <c r="Z559" s="47" t="str">
        <f>IF(K456="","",K456)</f>
        <v/>
      </c>
      <c r="AA559" s="47" t="str">
        <f t="shared" si="114"/>
        <v/>
      </c>
      <c r="AB559" s="47" t="str">
        <f t="shared" si="115"/>
        <v/>
      </c>
      <c r="AC559" s="47" t="str">
        <f t="shared" si="116"/>
        <v/>
      </c>
      <c r="AD559" s="47" t="str">
        <f t="shared" si="117"/>
        <v/>
      </c>
      <c r="AE559" s="47" t="str">
        <f>IF(L456="","",L456)</f>
        <v/>
      </c>
      <c r="AF559" s="40" t="str">
        <f>IF(Z559&lt;&gt;"",IF(AG328="",""")],","), ac("),"")</f>
        <v/>
      </c>
    </row>
    <row r="560" spans="1:32" ht="24.75" hidden="1" x14ac:dyDescent="0.4">
      <c r="A560" s="9" t="str">
        <f t="shared" si="118"/>
        <v>/* 80 */   [ac("", "cp0","")],</v>
      </c>
      <c r="B560" s="9">
        <f t="shared" si="119"/>
        <v>80</v>
      </c>
      <c r="C560" s="9" t="str">
        <f t="shared" si="101"/>
        <v/>
      </c>
      <c r="D560" s="39" t="str">
        <f t="shared" si="100"/>
        <v/>
      </c>
      <c r="E560" s="60" t="s">
        <v>52</v>
      </c>
      <c r="F560" s="63" t="str">
        <f>IF(E457="","",E457)</f>
        <v/>
      </c>
      <c r="G560" s="64" t="s">
        <v>53</v>
      </c>
      <c r="H560" s="63" t="str">
        <f t="shared" si="102"/>
        <v/>
      </c>
      <c r="I560" s="64" t="s">
        <v>54</v>
      </c>
      <c r="J560" s="48" t="str">
        <f>IF(F457="","",F457)</f>
        <v/>
      </c>
      <c r="K560" s="40" t="str">
        <f t="shared" si="103"/>
        <v/>
      </c>
      <c r="L560" s="50" t="str">
        <f>IF(G457="","",G457)</f>
        <v/>
      </c>
      <c r="M560" s="51" t="str">
        <f t="shared" si="104"/>
        <v/>
      </c>
      <c r="N560" s="52" t="str">
        <f t="shared" si="105"/>
        <v/>
      </c>
      <c r="O560" s="50" t="str">
        <f t="shared" si="106"/>
        <v/>
      </c>
      <c r="P560" s="52" t="str">
        <f t="shared" si="107"/>
        <v/>
      </c>
      <c r="Q560" s="54" t="str">
        <f>IF(H457="","",H457)</f>
        <v/>
      </c>
      <c r="R560" s="40" t="str">
        <f t="shared" si="108"/>
        <v/>
      </c>
      <c r="S560" s="63" t="str">
        <f>IF(I457="","",I457)</f>
        <v/>
      </c>
      <c r="T560" s="64" t="str">
        <f t="shared" si="109"/>
        <v/>
      </c>
      <c r="U560" s="64" t="str">
        <f t="shared" si="110"/>
        <v/>
      </c>
      <c r="V560" s="63" t="str">
        <f t="shared" si="111"/>
        <v/>
      </c>
      <c r="W560" s="64" t="str">
        <f t="shared" si="112"/>
        <v/>
      </c>
      <c r="X560" s="48" t="str">
        <f>IF(J457="","",J457)</f>
        <v/>
      </c>
      <c r="Y560" s="40" t="str">
        <f t="shared" si="113"/>
        <v/>
      </c>
      <c r="Z560" s="54" t="str">
        <f>IF(K457="","",K457)</f>
        <v/>
      </c>
      <c r="AA560" s="54" t="str">
        <f t="shared" si="114"/>
        <v/>
      </c>
      <c r="AB560" s="54" t="str">
        <f t="shared" si="115"/>
        <v/>
      </c>
      <c r="AC560" s="54" t="str">
        <f t="shared" si="116"/>
        <v/>
      </c>
      <c r="AD560" s="54" t="str">
        <f t="shared" si="117"/>
        <v/>
      </c>
      <c r="AE560" s="54" t="str">
        <f>IF(L457="","",L457)</f>
        <v/>
      </c>
      <c r="AF560" s="40" t="str">
        <f>IF(Z560&lt;&gt;"",IF(AG329="",""")],","), ac("),"")</f>
        <v/>
      </c>
    </row>
    <row r="561" spans="1:32" ht="24.75" hidden="1" x14ac:dyDescent="0.4">
      <c r="A561" s="9" t="str">
        <f t="shared" si="118"/>
        <v>/* 81 */   [ac("", "cp0","")],</v>
      </c>
      <c r="B561" s="9">
        <f t="shared" si="119"/>
        <v>81</v>
      </c>
      <c r="C561" s="9" t="str">
        <f t="shared" si="101"/>
        <v/>
      </c>
      <c r="D561" s="39" t="str">
        <f t="shared" si="100"/>
        <v/>
      </c>
      <c r="E561" s="60" t="s">
        <v>52</v>
      </c>
      <c r="F561" s="61" t="str">
        <f>IF(E458="","",E458)</f>
        <v/>
      </c>
      <c r="G561" s="42" t="s">
        <v>53</v>
      </c>
      <c r="H561" s="61" t="str">
        <f t="shared" si="102"/>
        <v/>
      </c>
      <c r="I561" s="42" t="s">
        <v>54</v>
      </c>
      <c r="J561" s="41" t="str">
        <f>IF(F458="","",F458)</f>
        <v/>
      </c>
      <c r="K561" s="40" t="str">
        <f t="shared" si="103"/>
        <v/>
      </c>
      <c r="L561" s="43" t="str">
        <f>IF(G458="","",G458)</f>
        <v/>
      </c>
      <c r="M561" s="44" t="str">
        <f t="shared" si="104"/>
        <v/>
      </c>
      <c r="N561" s="45" t="str">
        <f t="shared" si="105"/>
        <v/>
      </c>
      <c r="O561" s="43" t="str">
        <f t="shared" si="106"/>
        <v/>
      </c>
      <c r="P561" s="45" t="str">
        <f t="shared" si="107"/>
        <v/>
      </c>
      <c r="Q561" s="47" t="str">
        <f>IF(H458="","",H458)</f>
        <v/>
      </c>
      <c r="R561" s="40" t="str">
        <f t="shared" si="108"/>
        <v/>
      </c>
      <c r="S561" s="61" t="str">
        <f>IF(I458="","",I458)</f>
        <v/>
      </c>
      <c r="T561" s="42" t="str">
        <f t="shared" si="109"/>
        <v/>
      </c>
      <c r="U561" s="42" t="str">
        <f t="shared" si="110"/>
        <v/>
      </c>
      <c r="V561" s="61" t="str">
        <f t="shared" si="111"/>
        <v/>
      </c>
      <c r="W561" s="42" t="str">
        <f t="shared" si="112"/>
        <v/>
      </c>
      <c r="X561" s="41" t="str">
        <f>IF(J458="","",J458)</f>
        <v/>
      </c>
      <c r="Y561" s="40" t="str">
        <f t="shared" si="113"/>
        <v/>
      </c>
      <c r="Z561" s="47" t="str">
        <f>IF(K458="","",K458)</f>
        <v/>
      </c>
      <c r="AA561" s="47" t="str">
        <f t="shared" si="114"/>
        <v/>
      </c>
      <c r="AB561" s="47" t="str">
        <f t="shared" si="115"/>
        <v/>
      </c>
      <c r="AC561" s="47" t="str">
        <f t="shared" si="116"/>
        <v/>
      </c>
      <c r="AD561" s="47" t="str">
        <f t="shared" si="117"/>
        <v/>
      </c>
      <c r="AE561" s="47" t="str">
        <f>IF(L458="","",L458)</f>
        <v/>
      </c>
      <c r="AF561" s="40" t="str">
        <f>IF(Z561&lt;&gt;"",IF(AG330="",""")],","), ac("),"")</f>
        <v/>
      </c>
    </row>
    <row r="562" spans="1:32" ht="24.75" hidden="1" x14ac:dyDescent="0.4">
      <c r="A562" s="9" t="str">
        <f t="shared" si="118"/>
        <v>/* 82 */   [ac("", "cp0","")],</v>
      </c>
      <c r="B562" s="9">
        <f t="shared" si="119"/>
        <v>82</v>
      </c>
      <c r="C562" s="9" t="str">
        <f t="shared" si="101"/>
        <v/>
      </c>
      <c r="D562" s="39" t="str">
        <f t="shared" si="100"/>
        <v/>
      </c>
      <c r="E562" s="60" t="s">
        <v>52</v>
      </c>
      <c r="F562" s="63" t="str">
        <f>IF(E459="","",E459)</f>
        <v/>
      </c>
      <c r="G562" s="64" t="s">
        <v>53</v>
      </c>
      <c r="H562" s="63" t="str">
        <f t="shared" si="102"/>
        <v/>
      </c>
      <c r="I562" s="64" t="s">
        <v>54</v>
      </c>
      <c r="J562" s="48" t="str">
        <f>IF(F459="","",F459)</f>
        <v/>
      </c>
      <c r="K562" s="40" t="str">
        <f t="shared" si="103"/>
        <v/>
      </c>
      <c r="L562" s="50" t="str">
        <f>IF(G459="","",G459)</f>
        <v/>
      </c>
      <c r="M562" s="51" t="str">
        <f t="shared" si="104"/>
        <v/>
      </c>
      <c r="N562" s="52" t="str">
        <f t="shared" si="105"/>
        <v/>
      </c>
      <c r="O562" s="50" t="str">
        <f t="shared" si="106"/>
        <v/>
      </c>
      <c r="P562" s="52" t="str">
        <f t="shared" si="107"/>
        <v/>
      </c>
      <c r="Q562" s="54" t="str">
        <f>IF(H459="","",H459)</f>
        <v/>
      </c>
      <c r="R562" s="40" t="str">
        <f t="shared" si="108"/>
        <v/>
      </c>
      <c r="S562" s="63" t="str">
        <f>IF(I459="","",I459)</f>
        <v/>
      </c>
      <c r="T562" s="64" t="str">
        <f t="shared" si="109"/>
        <v/>
      </c>
      <c r="U562" s="64" t="str">
        <f t="shared" si="110"/>
        <v/>
      </c>
      <c r="V562" s="63" t="str">
        <f t="shared" si="111"/>
        <v/>
      </c>
      <c r="W562" s="64" t="str">
        <f t="shared" si="112"/>
        <v/>
      </c>
      <c r="X562" s="48" t="str">
        <f>IF(J459="","",J459)</f>
        <v/>
      </c>
      <c r="Y562" s="40" t="str">
        <f t="shared" si="113"/>
        <v/>
      </c>
      <c r="Z562" s="54" t="str">
        <f>IF(K459="","",K459)</f>
        <v/>
      </c>
      <c r="AA562" s="54" t="str">
        <f t="shared" si="114"/>
        <v/>
      </c>
      <c r="AB562" s="54" t="str">
        <f t="shared" si="115"/>
        <v/>
      </c>
      <c r="AC562" s="54" t="str">
        <f t="shared" si="116"/>
        <v/>
      </c>
      <c r="AD562" s="54" t="str">
        <f t="shared" si="117"/>
        <v/>
      </c>
      <c r="AE562" s="54" t="str">
        <f>IF(L459="","",L459)</f>
        <v/>
      </c>
      <c r="AF562" s="40" t="str">
        <f>IF(Z562&lt;&gt;"",IF(AG331="",""")],","), ac("),"")</f>
        <v/>
      </c>
    </row>
    <row r="563" spans="1:32" ht="24.75" hidden="1" x14ac:dyDescent="0.4">
      <c r="A563" s="9" t="str">
        <f t="shared" si="118"/>
        <v>/* 83 */   [ac("", "cp0","")],</v>
      </c>
      <c r="B563" s="9">
        <f t="shared" si="119"/>
        <v>83</v>
      </c>
      <c r="C563" s="9" t="str">
        <f t="shared" si="101"/>
        <v/>
      </c>
      <c r="D563" s="39" t="str">
        <f t="shared" si="100"/>
        <v/>
      </c>
      <c r="E563" s="60" t="s">
        <v>52</v>
      </c>
      <c r="F563" s="61" t="str">
        <f>IF(E460="","",E460)</f>
        <v/>
      </c>
      <c r="G563" s="42" t="s">
        <v>53</v>
      </c>
      <c r="H563" s="61" t="str">
        <f t="shared" si="102"/>
        <v/>
      </c>
      <c r="I563" s="42" t="s">
        <v>54</v>
      </c>
      <c r="J563" s="41" t="str">
        <f>IF(F460="","",F460)</f>
        <v/>
      </c>
      <c r="K563" s="40" t="str">
        <f t="shared" si="103"/>
        <v/>
      </c>
      <c r="L563" s="43" t="str">
        <f>IF(G460="","",G460)</f>
        <v/>
      </c>
      <c r="M563" s="44" t="str">
        <f t="shared" si="104"/>
        <v/>
      </c>
      <c r="N563" s="45" t="str">
        <f t="shared" si="105"/>
        <v/>
      </c>
      <c r="O563" s="43" t="str">
        <f t="shared" si="106"/>
        <v/>
      </c>
      <c r="P563" s="45" t="str">
        <f t="shared" si="107"/>
        <v/>
      </c>
      <c r="Q563" s="47" t="str">
        <f>IF(H460="","",H460)</f>
        <v/>
      </c>
      <c r="R563" s="40" t="str">
        <f t="shared" si="108"/>
        <v/>
      </c>
      <c r="S563" s="61" t="str">
        <f>IF(I460="","",I460)</f>
        <v/>
      </c>
      <c r="T563" s="42" t="str">
        <f t="shared" si="109"/>
        <v/>
      </c>
      <c r="U563" s="42" t="str">
        <f t="shared" si="110"/>
        <v/>
      </c>
      <c r="V563" s="61" t="str">
        <f t="shared" si="111"/>
        <v/>
      </c>
      <c r="W563" s="42" t="str">
        <f t="shared" si="112"/>
        <v/>
      </c>
      <c r="X563" s="41" t="str">
        <f>IF(J460="","",J460)</f>
        <v/>
      </c>
      <c r="Y563" s="40" t="str">
        <f t="shared" si="113"/>
        <v/>
      </c>
      <c r="Z563" s="47" t="str">
        <f>IF(K460="","",K460)</f>
        <v/>
      </c>
      <c r="AA563" s="47" t="str">
        <f t="shared" si="114"/>
        <v/>
      </c>
      <c r="AB563" s="47" t="str">
        <f t="shared" si="115"/>
        <v/>
      </c>
      <c r="AC563" s="47" t="str">
        <f t="shared" si="116"/>
        <v/>
      </c>
      <c r="AD563" s="47" t="str">
        <f t="shared" si="117"/>
        <v/>
      </c>
      <c r="AE563" s="47" t="str">
        <f>IF(L460="","",L460)</f>
        <v/>
      </c>
      <c r="AF563" s="40" t="str">
        <f>IF(Z563&lt;&gt;"",IF(AG332="",""")],","), ac("),"")</f>
        <v/>
      </c>
    </row>
    <row r="564" spans="1:32" ht="24.75" hidden="1" x14ac:dyDescent="0.4">
      <c r="A564" s="9" t="str">
        <f t="shared" si="118"/>
        <v>/* 84 */   [ac("", "cp0","")],</v>
      </c>
      <c r="B564" s="9">
        <f t="shared" si="119"/>
        <v>84</v>
      </c>
      <c r="C564" s="9" t="str">
        <f t="shared" si="101"/>
        <v/>
      </c>
      <c r="D564" s="39" t="str">
        <f t="shared" si="100"/>
        <v/>
      </c>
      <c r="E564" s="60" t="s">
        <v>52</v>
      </c>
      <c r="F564" s="63" t="str">
        <f>IF(E461="","",E461)</f>
        <v/>
      </c>
      <c r="G564" s="64" t="s">
        <v>53</v>
      </c>
      <c r="H564" s="63" t="str">
        <f t="shared" si="102"/>
        <v/>
      </c>
      <c r="I564" s="64" t="s">
        <v>54</v>
      </c>
      <c r="J564" s="48" t="str">
        <f>IF(F461="","",F461)</f>
        <v/>
      </c>
      <c r="K564" s="40" t="str">
        <f t="shared" si="103"/>
        <v/>
      </c>
      <c r="L564" s="50" t="str">
        <f>IF(G461="","",G461)</f>
        <v/>
      </c>
      <c r="M564" s="51" t="str">
        <f t="shared" si="104"/>
        <v/>
      </c>
      <c r="N564" s="52" t="str">
        <f t="shared" si="105"/>
        <v/>
      </c>
      <c r="O564" s="50" t="str">
        <f t="shared" si="106"/>
        <v/>
      </c>
      <c r="P564" s="52" t="str">
        <f t="shared" si="107"/>
        <v/>
      </c>
      <c r="Q564" s="54" t="str">
        <f>IF(H461="","",H461)</f>
        <v/>
      </c>
      <c r="R564" s="40" t="str">
        <f t="shared" si="108"/>
        <v/>
      </c>
      <c r="S564" s="63" t="str">
        <f>IF(I461="","",I461)</f>
        <v/>
      </c>
      <c r="T564" s="64" t="str">
        <f t="shared" si="109"/>
        <v/>
      </c>
      <c r="U564" s="64" t="str">
        <f t="shared" si="110"/>
        <v/>
      </c>
      <c r="V564" s="63" t="str">
        <f t="shared" si="111"/>
        <v/>
      </c>
      <c r="W564" s="64" t="str">
        <f t="shared" si="112"/>
        <v/>
      </c>
      <c r="X564" s="48" t="str">
        <f>IF(J461="","",J461)</f>
        <v/>
      </c>
      <c r="Y564" s="40" t="str">
        <f t="shared" si="113"/>
        <v/>
      </c>
      <c r="Z564" s="54" t="str">
        <f>IF(K461="","",K461)</f>
        <v/>
      </c>
      <c r="AA564" s="54" t="str">
        <f t="shared" si="114"/>
        <v/>
      </c>
      <c r="AB564" s="54" t="str">
        <f t="shared" si="115"/>
        <v/>
      </c>
      <c r="AC564" s="54" t="str">
        <f t="shared" si="116"/>
        <v/>
      </c>
      <c r="AD564" s="54" t="str">
        <f t="shared" si="117"/>
        <v/>
      </c>
      <c r="AE564" s="54" t="str">
        <f>IF(L461="","",L461)</f>
        <v/>
      </c>
      <c r="AF564" s="40" t="str">
        <f>IF(Z564&lt;&gt;"",IF(AG333="",""")],","), ac("),"")</f>
        <v/>
      </c>
    </row>
    <row r="565" spans="1:32" ht="24.75" hidden="1" x14ac:dyDescent="0.4">
      <c r="A565" s="9" t="str">
        <f t="shared" si="118"/>
        <v>/* 85 */   [ac("", "cp0","")],</v>
      </c>
      <c r="B565" s="9">
        <f t="shared" si="119"/>
        <v>85</v>
      </c>
      <c r="C565" s="9" t="str">
        <f t="shared" si="101"/>
        <v/>
      </c>
      <c r="D565" s="39" t="str">
        <f t="shared" si="100"/>
        <v/>
      </c>
      <c r="E565" s="60" t="s">
        <v>52</v>
      </c>
      <c r="F565" s="61" t="str">
        <f>IF(E462="","",E462)</f>
        <v/>
      </c>
      <c r="G565" s="42" t="s">
        <v>53</v>
      </c>
      <c r="H565" s="61" t="str">
        <f t="shared" si="102"/>
        <v/>
      </c>
      <c r="I565" s="42" t="s">
        <v>54</v>
      </c>
      <c r="J565" s="41" t="str">
        <f>IF(F462="","",F462)</f>
        <v/>
      </c>
      <c r="K565" s="40" t="str">
        <f t="shared" si="103"/>
        <v/>
      </c>
      <c r="L565" s="43" t="str">
        <f>IF(G462="","",G462)</f>
        <v/>
      </c>
      <c r="M565" s="44" t="str">
        <f t="shared" si="104"/>
        <v/>
      </c>
      <c r="N565" s="45" t="str">
        <f t="shared" si="105"/>
        <v/>
      </c>
      <c r="O565" s="43" t="str">
        <f t="shared" si="106"/>
        <v/>
      </c>
      <c r="P565" s="45" t="str">
        <f t="shared" si="107"/>
        <v/>
      </c>
      <c r="Q565" s="47" t="str">
        <f>IF(H462="","",H462)</f>
        <v/>
      </c>
      <c r="R565" s="40" t="str">
        <f t="shared" si="108"/>
        <v/>
      </c>
      <c r="S565" s="61" t="str">
        <f>IF(I462="","",I462)</f>
        <v/>
      </c>
      <c r="T565" s="42" t="str">
        <f t="shared" si="109"/>
        <v/>
      </c>
      <c r="U565" s="42" t="str">
        <f t="shared" si="110"/>
        <v/>
      </c>
      <c r="V565" s="61" t="str">
        <f t="shared" si="111"/>
        <v/>
      </c>
      <c r="W565" s="42" t="str">
        <f t="shared" si="112"/>
        <v/>
      </c>
      <c r="X565" s="41" t="str">
        <f>IF(J462="","",J462)</f>
        <v/>
      </c>
      <c r="Y565" s="40" t="str">
        <f t="shared" si="113"/>
        <v/>
      </c>
      <c r="Z565" s="47" t="str">
        <f>IF(K462="","",K462)</f>
        <v/>
      </c>
      <c r="AA565" s="47" t="str">
        <f t="shared" si="114"/>
        <v/>
      </c>
      <c r="AB565" s="47" t="str">
        <f t="shared" si="115"/>
        <v/>
      </c>
      <c r="AC565" s="47" t="str">
        <f t="shared" si="116"/>
        <v/>
      </c>
      <c r="AD565" s="47" t="str">
        <f t="shared" si="117"/>
        <v/>
      </c>
      <c r="AE565" s="47" t="str">
        <f>IF(L462="","",L462)</f>
        <v/>
      </c>
      <c r="AF565" s="40" t="str">
        <f>IF(Z565&lt;&gt;"",IF(AG334="",""")],","), ac("),"")</f>
        <v/>
      </c>
    </row>
    <row r="566" spans="1:32" ht="24.75" hidden="1" x14ac:dyDescent="0.4">
      <c r="A566" s="9" t="str">
        <f t="shared" si="118"/>
        <v>/* 86 */   [ac("", "cp0","")],</v>
      </c>
      <c r="B566" s="9">
        <f t="shared" si="119"/>
        <v>86</v>
      </c>
      <c r="C566" s="9" t="str">
        <f t="shared" si="101"/>
        <v/>
      </c>
      <c r="D566" s="39" t="str">
        <f t="shared" si="100"/>
        <v/>
      </c>
      <c r="E566" s="60" t="s">
        <v>52</v>
      </c>
      <c r="F566" s="63" t="str">
        <f>IF(E463="","",E463)</f>
        <v/>
      </c>
      <c r="G566" s="64" t="s">
        <v>53</v>
      </c>
      <c r="H566" s="63" t="str">
        <f t="shared" si="102"/>
        <v/>
      </c>
      <c r="I566" s="64" t="s">
        <v>54</v>
      </c>
      <c r="J566" s="48" t="str">
        <f>IF(F463="","",F463)</f>
        <v/>
      </c>
      <c r="K566" s="40" t="str">
        <f t="shared" si="103"/>
        <v/>
      </c>
      <c r="L566" s="50" t="str">
        <f>IF(G463="","",G463)</f>
        <v/>
      </c>
      <c r="M566" s="51" t="str">
        <f t="shared" si="104"/>
        <v/>
      </c>
      <c r="N566" s="52" t="str">
        <f t="shared" si="105"/>
        <v/>
      </c>
      <c r="O566" s="50" t="str">
        <f t="shared" si="106"/>
        <v/>
      </c>
      <c r="P566" s="52" t="str">
        <f t="shared" si="107"/>
        <v/>
      </c>
      <c r="Q566" s="54" t="str">
        <f>IF(H463="","",H463)</f>
        <v/>
      </c>
      <c r="R566" s="40" t="str">
        <f t="shared" si="108"/>
        <v/>
      </c>
      <c r="S566" s="63" t="str">
        <f>IF(I463="","",I463)</f>
        <v/>
      </c>
      <c r="T566" s="64" t="str">
        <f t="shared" si="109"/>
        <v/>
      </c>
      <c r="U566" s="64" t="str">
        <f t="shared" si="110"/>
        <v/>
      </c>
      <c r="V566" s="63" t="str">
        <f t="shared" si="111"/>
        <v/>
      </c>
      <c r="W566" s="64" t="str">
        <f t="shared" si="112"/>
        <v/>
      </c>
      <c r="X566" s="48" t="str">
        <f>IF(J463="","",J463)</f>
        <v/>
      </c>
      <c r="Y566" s="40" t="str">
        <f t="shared" si="113"/>
        <v/>
      </c>
      <c r="Z566" s="54" t="str">
        <f>IF(K463="","",K463)</f>
        <v/>
      </c>
      <c r="AA566" s="54" t="str">
        <f t="shared" si="114"/>
        <v/>
      </c>
      <c r="AB566" s="54" t="str">
        <f t="shared" si="115"/>
        <v/>
      </c>
      <c r="AC566" s="54" t="str">
        <f t="shared" si="116"/>
        <v/>
      </c>
      <c r="AD566" s="54" t="str">
        <f t="shared" si="117"/>
        <v/>
      </c>
      <c r="AE566" s="54" t="str">
        <f>IF(L463="","",L463)</f>
        <v/>
      </c>
      <c r="AF566" s="40" t="str">
        <f>IF(Z566&lt;&gt;"",IF(AG335="",""")],","), ac("),"")</f>
        <v/>
      </c>
    </row>
    <row r="567" spans="1:32" ht="24.75" hidden="1" x14ac:dyDescent="0.4">
      <c r="A567" s="9" t="str">
        <f t="shared" si="118"/>
        <v>/* 87 */   [ac("", "cp0","")],</v>
      </c>
      <c r="B567" s="9">
        <f t="shared" si="119"/>
        <v>87</v>
      </c>
      <c r="C567" s="9" t="str">
        <f t="shared" si="101"/>
        <v/>
      </c>
      <c r="D567" s="39" t="str">
        <f t="shared" si="100"/>
        <v/>
      </c>
      <c r="E567" s="60" t="s">
        <v>52</v>
      </c>
      <c r="F567" s="61" t="str">
        <f>IF(E464="","",E464)</f>
        <v/>
      </c>
      <c r="G567" s="42" t="s">
        <v>53</v>
      </c>
      <c r="H567" s="61" t="str">
        <f t="shared" si="102"/>
        <v/>
      </c>
      <c r="I567" s="42" t="s">
        <v>54</v>
      </c>
      <c r="J567" s="41" t="str">
        <f>IF(F464="","",F464)</f>
        <v/>
      </c>
      <c r="K567" s="40" t="str">
        <f t="shared" si="103"/>
        <v/>
      </c>
      <c r="L567" s="43" t="str">
        <f>IF(G464="","",G464)</f>
        <v/>
      </c>
      <c r="M567" s="44" t="str">
        <f t="shared" si="104"/>
        <v/>
      </c>
      <c r="N567" s="45" t="str">
        <f t="shared" si="105"/>
        <v/>
      </c>
      <c r="O567" s="43" t="str">
        <f t="shared" si="106"/>
        <v/>
      </c>
      <c r="P567" s="45" t="str">
        <f t="shared" si="107"/>
        <v/>
      </c>
      <c r="Q567" s="47" t="str">
        <f>IF(H464="","",H464)</f>
        <v/>
      </c>
      <c r="R567" s="40" t="str">
        <f t="shared" si="108"/>
        <v/>
      </c>
      <c r="S567" s="61" t="str">
        <f>IF(I464="","",I464)</f>
        <v/>
      </c>
      <c r="T567" s="42" t="str">
        <f t="shared" si="109"/>
        <v/>
      </c>
      <c r="U567" s="42" t="str">
        <f t="shared" si="110"/>
        <v/>
      </c>
      <c r="V567" s="61" t="str">
        <f t="shared" si="111"/>
        <v/>
      </c>
      <c r="W567" s="42" t="str">
        <f t="shared" si="112"/>
        <v/>
      </c>
      <c r="X567" s="41" t="str">
        <f>IF(J464="","",J464)</f>
        <v/>
      </c>
      <c r="Y567" s="40" t="str">
        <f t="shared" si="113"/>
        <v/>
      </c>
      <c r="Z567" s="47" t="str">
        <f>IF(K464="","",K464)</f>
        <v/>
      </c>
      <c r="AA567" s="47" t="str">
        <f t="shared" si="114"/>
        <v/>
      </c>
      <c r="AB567" s="47" t="str">
        <f t="shared" si="115"/>
        <v/>
      </c>
      <c r="AC567" s="47" t="str">
        <f t="shared" si="116"/>
        <v/>
      </c>
      <c r="AD567" s="47" t="str">
        <f t="shared" si="117"/>
        <v/>
      </c>
      <c r="AE567" s="47" t="str">
        <f>IF(L464="","",L464)</f>
        <v/>
      </c>
      <c r="AF567" s="40" t="str">
        <f>IF(Z567&lt;&gt;"",IF(AG336="",""")],","), ac("),"")</f>
        <v/>
      </c>
    </row>
    <row r="568" spans="1:32" ht="24.75" hidden="1" x14ac:dyDescent="0.4">
      <c r="A568" s="9" t="str">
        <f t="shared" si="118"/>
        <v>/* 88 */   [ac("", "cp0","")],</v>
      </c>
      <c r="B568" s="9">
        <f t="shared" si="119"/>
        <v>88</v>
      </c>
      <c r="C568" s="9" t="str">
        <f t="shared" si="101"/>
        <v/>
      </c>
      <c r="D568" s="39" t="str">
        <f t="shared" si="100"/>
        <v/>
      </c>
      <c r="E568" s="60" t="s">
        <v>52</v>
      </c>
      <c r="F568" s="63" t="str">
        <f>IF(E465="","",E465)</f>
        <v/>
      </c>
      <c r="G568" s="64" t="s">
        <v>53</v>
      </c>
      <c r="H568" s="63" t="str">
        <f t="shared" si="102"/>
        <v/>
      </c>
      <c r="I568" s="64" t="s">
        <v>54</v>
      </c>
      <c r="J568" s="48" t="str">
        <f>IF(F465="","",F465)</f>
        <v/>
      </c>
      <c r="K568" s="40" t="str">
        <f t="shared" si="103"/>
        <v/>
      </c>
      <c r="L568" s="50" t="str">
        <f>IF(G465="","",G465)</f>
        <v/>
      </c>
      <c r="M568" s="51" t="str">
        <f t="shared" si="104"/>
        <v/>
      </c>
      <c r="N568" s="52" t="str">
        <f t="shared" si="105"/>
        <v/>
      </c>
      <c r="O568" s="50" t="str">
        <f t="shared" si="106"/>
        <v/>
      </c>
      <c r="P568" s="52" t="str">
        <f t="shared" si="107"/>
        <v/>
      </c>
      <c r="Q568" s="54" t="str">
        <f>IF(H465="","",H465)</f>
        <v/>
      </c>
      <c r="R568" s="40" t="str">
        <f t="shared" si="108"/>
        <v/>
      </c>
      <c r="S568" s="63" t="str">
        <f>IF(I465="","",I465)</f>
        <v/>
      </c>
      <c r="T568" s="64" t="str">
        <f t="shared" si="109"/>
        <v/>
      </c>
      <c r="U568" s="64" t="str">
        <f t="shared" si="110"/>
        <v/>
      </c>
      <c r="V568" s="63" t="str">
        <f t="shared" si="111"/>
        <v/>
      </c>
      <c r="W568" s="64" t="str">
        <f t="shared" si="112"/>
        <v/>
      </c>
      <c r="X568" s="48" t="str">
        <f>IF(J465="","",J465)</f>
        <v/>
      </c>
      <c r="Y568" s="40" t="str">
        <f t="shared" si="113"/>
        <v/>
      </c>
      <c r="Z568" s="54" t="str">
        <f>IF(K465="","",K465)</f>
        <v/>
      </c>
      <c r="AA568" s="54" t="str">
        <f t="shared" si="114"/>
        <v/>
      </c>
      <c r="AB568" s="54" t="str">
        <f t="shared" si="115"/>
        <v/>
      </c>
      <c r="AC568" s="54" t="str">
        <f t="shared" si="116"/>
        <v/>
      </c>
      <c r="AD568" s="54" t="str">
        <f t="shared" si="117"/>
        <v/>
      </c>
      <c r="AE568" s="54" t="str">
        <f>IF(L465="","",L465)</f>
        <v/>
      </c>
      <c r="AF568" s="40" t="str">
        <f>IF(Z568&lt;&gt;"",IF(AG337="",""")],","), ac("),"")</f>
        <v/>
      </c>
    </row>
    <row r="569" spans="1:32" ht="24.75" hidden="1" x14ac:dyDescent="0.4">
      <c r="A569" s="9" t="str">
        <f t="shared" si="118"/>
        <v>/* 89 */   [ac("", "cp0","")],</v>
      </c>
      <c r="B569" s="9">
        <f t="shared" si="119"/>
        <v>89</v>
      </c>
      <c r="C569" s="9" t="str">
        <f t="shared" si="101"/>
        <v/>
      </c>
      <c r="D569" s="39" t="str">
        <f t="shared" si="100"/>
        <v/>
      </c>
      <c r="E569" s="60" t="s">
        <v>52</v>
      </c>
      <c r="F569" s="61" t="str">
        <f>IF(E466="","",E466)</f>
        <v/>
      </c>
      <c r="G569" s="42" t="s">
        <v>53</v>
      </c>
      <c r="H569" s="61" t="str">
        <f t="shared" si="102"/>
        <v/>
      </c>
      <c r="I569" s="42" t="s">
        <v>54</v>
      </c>
      <c r="J569" s="41" t="str">
        <f>IF(F466="","",F466)</f>
        <v/>
      </c>
      <c r="K569" s="40" t="str">
        <f t="shared" si="103"/>
        <v/>
      </c>
      <c r="L569" s="43" t="str">
        <f>IF(G466="","",G466)</f>
        <v/>
      </c>
      <c r="M569" s="44" t="str">
        <f t="shared" si="104"/>
        <v/>
      </c>
      <c r="N569" s="45" t="str">
        <f t="shared" si="105"/>
        <v/>
      </c>
      <c r="O569" s="43" t="str">
        <f t="shared" si="106"/>
        <v/>
      </c>
      <c r="P569" s="45" t="str">
        <f t="shared" si="107"/>
        <v/>
      </c>
      <c r="Q569" s="47" t="str">
        <f>IF(H466="","",H466)</f>
        <v/>
      </c>
      <c r="R569" s="40" t="str">
        <f t="shared" si="108"/>
        <v/>
      </c>
      <c r="S569" s="61" t="str">
        <f>IF(I466="","",I466)</f>
        <v/>
      </c>
      <c r="T569" s="42" t="str">
        <f t="shared" si="109"/>
        <v/>
      </c>
      <c r="U569" s="42" t="str">
        <f t="shared" si="110"/>
        <v/>
      </c>
      <c r="V569" s="61" t="str">
        <f t="shared" si="111"/>
        <v/>
      </c>
      <c r="W569" s="42" t="str">
        <f t="shared" si="112"/>
        <v/>
      </c>
      <c r="X569" s="41" t="str">
        <f>IF(J466="","",J466)</f>
        <v/>
      </c>
      <c r="Y569" s="40" t="str">
        <f t="shared" si="113"/>
        <v/>
      </c>
      <c r="Z569" s="47" t="str">
        <f>IF(K466="","",K466)</f>
        <v/>
      </c>
      <c r="AA569" s="47" t="str">
        <f t="shared" si="114"/>
        <v/>
      </c>
      <c r="AB569" s="47" t="str">
        <f t="shared" si="115"/>
        <v/>
      </c>
      <c r="AC569" s="47" t="str">
        <f t="shared" si="116"/>
        <v/>
      </c>
      <c r="AD569" s="47" t="str">
        <f t="shared" si="117"/>
        <v/>
      </c>
      <c r="AE569" s="47" t="str">
        <f>IF(L466="","",L466)</f>
        <v/>
      </c>
      <c r="AF569" s="40" t="str">
        <f>IF(Z569&lt;&gt;"",IF(AG338="",""")],","), ac("),"")</f>
        <v/>
      </c>
    </row>
    <row r="570" spans="1:32" ht="24.75" hidden="1" x14ac:dyDescent="0.4">
      <c r="A570" s="9" t="str">
        <f t="shared" si="118"/>
        <v>/* 90 */   [ac("", "cp0","")],</v>
      </c>
      <c r="B570" s="9">
        <f t="shared" si="119"/>
        <v>90</v>
      </c>
      <c r="C570" s="9" t="str">
        <f t="shared" si="101"/>
        <v/>
      </c>
      <c r="D570" s="39" t="str">
        <f t="shared" si="100"/>
        <v/>
      </c>
      <c r="E570" s="60" t="s">
        <v>52</v>
      </c>
      <c r="F570" s="63" t="str">
        <f>IF(E467="","",E467)</f>
        <v/>
      </c>
      <c r="G570" s="64" t="s">
        <v>53</v>
      </c>
      <c r="H570" s="63" t="str">
        <f t="shared" si="102"/>
        <v/>
      </c>
      <c r="I570" s="64" t="s">
        <v>54</v>
      </c>
      <c r="J570" s="48" t="str">
        <f>IF(F467="","",F467)</f>
        <v/>
      </c>
      <c r="K570" s="40" t="str">
        <f t="shared" si="103"/>
        <v/>
      </c>
      <c r="L570" s="50" t="str">
        <f>IF(G467="","",G467)</f>
        <v/>
      </c>
      <c r="M570" s="51" t="str">
        <f t="shared" si="104"/>
        <v/>
      </c>
      <c r="N570" s="52" t="str">
        <f t="shared" si="105"/>
        <v/>
      </c>
      <c r="O570" s="50" t="str">
        <f t="shared" si="106"/>
        <v/>
      </c>
      <c r="P570" s="52" t="str">
        <f t="shared" si="107"/>
        <v/>
      </c>
      <c r="Q570" s="54" t="str">
        <f>IF(H467="","",H467)</f>
        <v/>
      </c>
      <c r="R570" s="40" t="str">
        <f t="shared" si="108"/>
        <v/>
      </c>
      <c r="S570" s="63" t="str">
        <f>IF(I467="","",I467)</f>
        <v/>
      </c>
      <c r="T570" s="64" t="str">
        <f t="shared" si="109"/>
        <v/>
      </c>
      <c r="U570" s="64" t="str">
        <f t="shared" si="110"/>
        <v/>
      </c>
      <c r="V570" s="63" t="str">
        <f t="shared" si="111"/>
        <v/>
      </c>
      <c r="W570" s="64" t="str">
        <f t="shared" si="112"/>
        <v/>
      </c>
      <c r="X570" s="48" t="str">
        <f>IF(J467="","",J467)</f>
        <v/>
      </c>
      <c r="Y570" s="40" t="str">
        <f t="shared" si="113"/>
        <v/>
      </c>
      <c r="Z570" s="54" t="str">
        <f>IF(K467="","",K467)</f>
        <v/>
      </c>
      <c r="AA570" s="54" t="str">
        <f t="shared" si="114"/>
        <v/>
      </c>
      <c r="AB570" s="54" t="str">
        <f t="shared" si="115"/>
        <v/>
      </c>
      <c r="AC570" s="54" t="str">
        <f t="shared" si="116"/>
        <v/>
      </c>
      <c r="AD570" s="54" t="str">
        <f t="shared" si="117"/>
        <v/>
      </c>
      <c r="AE570" s="54" t="str">
        <f>IF(L467="","",L467)</f>
        <v/>
      </c>
      <c r="AF570" s="40" t="str">
        <f>IF(Z570&lt;&gt;"",IF(AG339="",""")],","), ac("),"")</f>
        <v/>
      </c>
    </row>
    <row r="571" spans="1:32" ht="24.75" hidden="1" x14ac:dyDescent="0.4">
      <c r="A571" s="9" t="str">
        <f t="shared" si="118"/>
        <v>/* 91 */   [ac("", "cp0","")],</v>
      </c>
      <c r="B571" s="9">
        <f t="shared" si="119"/>
        <v>91</v>
      </c>
      <c r="C571" s="9" t="str">
        <f t="shared" si="101"/>
        <v/>
      </c>
      <c r="D571" s="39" t="str">
        <f t="shared" si="100"/>
        <v/>
      </c>
      <c r="E571" s="60" t="s">
        <v>52</v>
      </c>
      <c r="F571" s="61" t="str">
        <f>IF(E468="","",E468)</f>
        <v/>
      </c>
      <c r="G571" s="42" t="s">
        <v>53</v>
      </c>
      <c r="H571" s="61" t="str">
        <f t="shared" si="102"/>
        <v/>
      </c>
      <c r="I571" s="42" t="s">
        <v>54</v>
      </c>
      <c r="J571" s="41" t="str">
        <f>IF(F468="","",F468)</f>
        <v/>
      </c>
      <c r="K571" s="40" t="str">
        <f t="shared" si="103"/>
        <v/>
      </c>
      <c r="L571" s="43" t="str">
        <f>IF(G468="","",G468)</f>
        <v/>
      </c>
      <c r="M571" s="44" t="str">
        <f t="shared" si="104"/>
        <v/>
      </c>
      <c r="N571" s="45" t="str">
        <f t="shared" si="105"/>
        <v/>
      </c>
      <c r="O571" s="43" t="str">
        <f t="shared" si="106"/>
        <v/>
      </c>
      <c r="P571" s="45" t="str">
        <f t="shared" si="107"/>
        <v/>
      </c>
      <c r="Q571" s="47" t="str">
        <f>IF(H468="","",H468)</f>
        <v/>
      </c>
      <c r="R571" s="40" t="str">
        <f t="shared" si="108"/>
        <v/>
      </c>
      <c r="S571" s="61" t="str">
        <f>IF(I468="","",I468)</f>
        <v/>
      </c>
      <c r="T571" s="42" t="str">
        <f t="shared" si="109"/>
        <v/>
      </c>
      <c r="U571" s="42" t="str">
        <f t="shared" si="110"/>
        <v/>
      </c>
      <c r="V571" s="61" t="str">
        <f t="shared" si="111"/>
        <v/>
      </c>
      <c r="W571" s="42" t="str">
        <f t="shared" si="112"/>
        <v/>
      </c>
      <c r="X571" s="41" t="str">
        <f>IF(J468="","",J468)</f>
        <v/>
      </c>
      <c r="Y571" s="40" t="str">
        <f t="shared" si="113"/>
        <v/>
      </c>
      <c r="Z571" s="47" t="str">
        <f>IF(K468="","",K468)</f>
        <v/>
      </c>
      <c r="AA571" s="47" t="str">
        <f t="shared" si="114"/>
        <v/>
      </c>
      <c r="AB571" s="47" t="str">
        <f t="shared" si="115"/>
        <v/>
      </c>
      <c r="AC571" s="47" t="str">
        <f t="shared" si="116"/>
        <v/>
      </c>
      <c r="AD571" s="47" t="str">
        <f t="shared" si="117"/>
        <v/>
      </c>
      <c r="AE571" s="47" t="str">
        <f>IF(L468="","",L468)</f>
        <v/>
      </c>
      <c r="AF571" s="40" t="str">
        <f>IF(Z571&lt;&gt;"",IF(AG340="",""")],","), ac("),"")</f>
        <v/>
      </c>
    </row>
    <row r="572" spans="1:32" ht="24.75" hidden="1" x14ac:dyDescent="0.4">
      <c r="A572" s="9" t="str">
        <f t="shared" si="118"/>
        <v>/* 92 */   [ac("", "cp0","")],</v>
      </c>
      <c r="B572" s="9">
        <f t="shared" si="119"/>
        <v>92</v>
      </c>
      <c r="C572" s="9" t="str">
        <f t="shared" si="101"/>
        <v/>
      </c>
      <c r="D572" s="39" t="str">
        <f t="shared" si="100"/>
        <v/>
      </c>
      <c r="E572" s="60" t="s">
        <v>52</v>
      </c>
      <c r="F572" s="63" t="str">
        <f>IF(E469="","",E469)</f>
        <v/>
      </c>
      <c r="G572" s="64" t="s">
        <v>53</v>
      </c>
      <c r="H572" s="63" t="str">
        <f t="shared" si="102"/>
        <v/>
      </c>
      <c r="I572" s="64" t="s">
        <v>54</v>
      </c>
      <c r="J572" s="48" t="str">
        <f>IF(F469="","",F469)</f>
        <v/>
      </c>
      <c r="K572" s="40" t="str">
        <f t="shared" si="103"/>
        <v/>
      </c>
      <c r="L572" s="50" t="str">
        <f>IF(G469="","",G469)</f>
        <v/>
      </c>
      <c r="M572" s="51" t="str">
        <f t="shared" si="104"/>
        <v/>
      </c>
      <c r="N572" s="52" t="str">
        <f t="shared" si="105"/>
        <v/>
      </c>
      <c r="O572" s="50" t="str">
        <f t="shared" si="106"/>
        <v/>
      </c>
      <c r="P572" s="52" t="str">
        <f t="shared" si="107"/>
        <v/>
      </c>
      <c r="Q572" s="54" t="str">
        <f>IF(H469="","",H469)</f>
        <v/>
      </c>
      <c r="R572" s="40" t="str">
        <f t="shared" si="108"/>
        <v/>
      </c>
      <c r="S572" s="63" t="str">
        <f>IF(I469="","",I469)</f>
        <v/>
      </c>
      <c r="T572" s="64" t="str">
        <f t="shared" si="109"/>
        <v/>
      </c>
      <c r="U572" s="64" t="str">
        <f t="shared" si="110"/>
        <v/>
      </c>
      <c r="V572" s="63" t="str">
        <f t="shared" si="111"/>
        <v/>
      </c>
      <c r="W572" s="64" t="str">
        <f t="shared" si="112"/>
        <v/>
      </c>
      <c r="X572" s="48" t="str">
        <f>IF(J469="","",J469)</f>
        <v/>
      </c>
      <c r="Y572" s="40" t="str">
        <f t="shared" si="113"/>
        <v/>
      </c>
      <c r="Z572" s="54" t="str">
        <f>IF(K469="","",K469)</f>
        <v/>
      </c>
      <c r="AA572" s="54" t="str">
        <f t="shared" si="114"/>
        <v/>
      </c>
      <c r="AB572" s="54" t="str">
        <f t="shared" si="115"/>
        <v/>
      </c>
      <c r="AC572" s="54" t="str">
        <f t="shared" si="116"/>
        <v/>
      </c>
      <c r="AD572" s="54" t="str">
        <f t="shared" si="117"/>
        <v/>
      </c>
      <c r="AE572" s="54" t="str">
        <f>IF(L469="","",L469)</f>
        <v/>
      </c>
      <c r="AF572" s="40" t="str">
        <f>IF(Z572&lt;&gt;"",IF(AG341="",""")],","), ac("),"")</f>
        <v/>
      </c>
    </row>
    <row r="573" spans="1:32" ht="24.75" hidden="1" x14ac:dyDescent="0.4">
      <c r="A573" s="9" t="str">
        <f t="shared" si="118"/>
        <v>/* 93 */   [ac("", "cp0","")],</v>
      </c>
      <c r="B573" s="9">
        <f t="shared" si="119"/>
        <v>93</v>
      </c>
      <c r="C573" s="9" t="str">
        <f t="shared" si="101"/>
        <v/>
      </c>
      <c r="D573" s="39" t="str">
        <f t="shared" si="100"/>
        <v/>
      </c>
      <c r="E573" s="60" t="s">
        <v>52</v>
      </c>
      <c r="F573" s="61" t="str">
        <f>IF(E470="","",E470)</f>
        <v/>
      </c>
      <c r="G573" s="42" t="s">
        <v>53</v>
      </c>
      <c r="H573" s="61" t="str">
        <f t="shared" si="102"/>
        <v/>
      </c>
      <c r="I573" s="42" t="s">
        <v>54</v>
      </c>
      <c r="J573" s="41" t="str">
        <f>IF(F470="","",F470)</f>
        <v/>
      </c>
      <c r="K573" s="40" t="str">
        <f t="shared" si="103"/>
        <v/>
      </c>
      <c r="L573" s="43" t="str">
        <f>IF(G470="","",G470)</f>
        <v/>
      </c>
      <c r="M573" s="44" t="str">
        <f t="shared" si="104"/>
        <v/>
      </c>
      <c r="N573" s="45" t="str">
        <f t="shared" si="105"/>
        <v/>
      </c>
      <c r="O573" s="43" t="str">
        <f t="shared" si="106"/>
        <v/>
      </c>
      <c r="P573" s="45" t="str">
        <f t="shared" si="107"/>
        <v/>
      </c>
      <c r="Q573" s="47" t="str">
        <f>IF(H470="","",H470)</f>
        <v/>
      </c>
      <c r="R573" s="40" t="str">
        <f t="shared" si="108"/>
        <v/>
      </c>
      <c r="S573" s="61" t="str">
        <f>IF(I470="","",I470)</f>
        <v/>
      </c>
      <c r="T573" s="42" t="str">
        <f t="shared" si="109"/>
        <v/>
      </c>
      <c r="U573" s="42" t="str">
        <f t="shared" si="110"/>
        <v/>
      </c>
      <c r="V573" s="61" t="str">
        <f t="shared" si="111"/>
        <v/>
      </c>
      <c r="W573" s="42" t="str">
        <f t="shared" si="112"/>
        <v/>
      </c>
      <c r="X573" s="41" t="str">
        <f>IF(J470="","",J470)</f>
        <v/>
      </c>
      <c r="Y573" s="40" t="str">
        <f t="shared" si="113"/>
        <v/>
      </c>
      <c r="Z573" s="47" t="str">
        <f>IF(K470="","",K470)</f>
        <v/>
      </c>
      <c r="AA573" s="47" t="str">
        <f t="shared" si="114"/>
        <v/>
      </c>
      <c r="AB573" s="47" t="str">
        <f t="shared" si="115"/>
        <v/>
      </c>
      <c r="AC573" s="47" t="str">
        <f t="shared" si="116"/>
        <v/>
      </c>
      <c r="AD573" s="47" t="str">
        <f t="shared" si="117"/>
        <v/>
      </c>
      <c r="AE573" s="47" t="str">
        <f>IF(L470="","",L470)</f>
        <v/>
      </c>
      <c r="AF573" s="40" t="str">
        <f>IF(Z573&lt;&gt;"",IF(AG342="",""")],","), ac("),"")</f>
        <v/>
      </c>
    </row>
    <row r="574" spans="1:32" ht="24.75" hidden="1" x14ac:dyDescent="0.4">
      <c r="A574" s="9" t="str">
        <f t="shared" si="118"/>
        <v>/* 94 */   [ac("", "cp0","")],</v>
      </c>
      <c r="B574" s="9">
        <f t="shared" si="119"/>
        <v>94</v>
      </c>
      <c r="C574" s="9" t="str">
        <f t="shared" si="101"/>
        <v/>
      </c>
      <c r="D574" s="39" t="str">
        <f t="shared" si="100"/>
        <v/>
      </c>
      <c r="E574" s="60" t="s">
        <v>52</v>
      </c>
      <c r="F574" s="63" t="str">
        <f>IF(E471="","",E471)</f>
        <v/>
      </c>
      <c r="G574" s="64" t="s">
        <v>53</v>
      </c>
      <c r="H574" s="63" t="str">
        <f t="shared" si="102"/>
        <v/>
      </c>
      <c r="I574" s="64" t="s">
        <v>54</v>
      </c>
      <c r="J574" s="48" t="str">
        <f>IF(F471="","",F471)</f>
        <v/>
      </c>
      <c r="K574" s="40" t="str">
        <f t="shared" si="103"/>
        <v/>
      </c>
      <c r="L574" s="50" t="str">
        <f>IF(G471="","",G471)</f>
        <v/>
      </c>
      <c r="M574" s="51" t="str">
        <f t="shared" si="104"/>
        <v/>
      </c>
      <c r="N574" s="52" t="str">
        <f t="shared" si="105"/>
        <v/>
      </c>
      <c r="O574" s="50" t="str">
        <f t="shared" si="106"/>
        <v/>
      </c>
      <c r="P574" s="52" t="str">
        <f t="shared" si="107"/>
        <v/>
      </c>
      <c r="Q574" s="54" t="str">
        <f>IF(H471="","",H471)</f>
        <v/>
      </c>
      <c r="R574" s="40" t="str">
        <f t="shared" si="108"/>
        <v/>
      </c>
      <c r="S574" s="63" t="str">
        <f>IF(I471="","",I471)</f>
        <v/>
      </c>
      <c r="T574" s="64" t="str">
        <f t="shared" si="109"/>
        <v/>
      </c>
      <c r="U574" s="64" t="str">
        <f t="shared" si="110"/>
        <v/>
      </c>
      <c r="V574" s="63" t="str">
        <f t="shared" si="111"/>
        <v/>
      </c>
      <c r="W574" s="64" t="str">
        <f t="shared" si="112"/>
        <v/>
      </c>
      <c r="X574" s="48" t="str">
        <f>IF(J471="","",J471)</f>
        <v/>
      </c>
      <c r="Y574" s="40" t="str">
        <f t="shared" si="113"/>
        <v/>
      </c>
      <c r="Z574" s="54" t="str">
        <f>IF(K471="","",K471)</f>
        <v/>
      </c>
      <c r="AA574" s="54" t="str">
        <f t="shared" si="114"/>
        <v/>
      </c>
      <c r="AB574" s="54" t="str">
        <f t="shared" si="115"/>
        <v/>
      </c>
      <c r="AC574" s="54" t="str">
        <f t="shared" si="116"/>
        <v/>
      </c>
      <c r="AD574" s="54" t="str">
        <f t="shared" si="117"/>
        <v/>
      </c>
      <c r="AE574" s="54" t="str">
        <f>IF(L471="","",L471)</f>
        <v/>
      </c>
      <c r="AF574" s="40" t="str">
        <f>IF(Z574&lt;&gt;"",IF(AG343="",""")],","), ac("),"")</f>
        <v/>
      </c>
    </row>
    <row r="575" spans="1:32" ht="24.75" hidden="1" x14ac:dyDescent="0.4">
      <c r="A575" s="9" t="str">
        <f t="shared" si="118"/>
        <v>/* 95 */   [ac("", "cp0","")],</v>
      </c>
      <c r="B575" s="9">
        <f t="shared" si="119"/>
        <v>95</v>
      </c>
      <c r="C575" s="9" t="str">
        <f t="shared" si="101"/>
        <v/>
      </c>
      <c r="D575" s="39" t="str">
        <f t="shared" si="100"/>
        <v/>
      </c>
      <c r="E575" s="60" t="s">
        <v>52</v>
      </c>
      <c r="F575" s="61" t="str">
        <f>IF(E472="","",E472)</f>
        <v/>
      </c>
      <c r="G575" s="42" t="s">
        <v>53</v>
      </c>
      <c r="H575" s="61" t="str">
        <f t="shared" si="102"/>
        <v/>
      </c>
      <c r="I575" s="42" t="s">
        <v>54</v>
      </c>
      <c r="J575" s="41" t="str">
        <f>IF(F472="","",F472)</f>
        <v/>
      </c>
      <c r="K575" s="40" t="str">
        <f t="shared" si="103"/>
        <v/>
      </c>
      <c r="L575" s="43" t="str">
        <f>IF(G472="","",G472)</f>
        <v/>
      </c>
      <c r="M575" s="44" t="str">
        <f t="shared" si="104"/>
        <v/>
      </c>
      <c r="N575" s="45" t="str">
        <f t="shared" si="105"/>
        <v/>
      </c>
      <c r="O575" s="43" t="str">
        <f t="shared" si="106"/>
        <v/>
      </c>
      <c r="P575" s="45" t="str">
        <f t="shared" si="107"/>
        <v/>
      </c>
      <c r="Q575" s="47" t="str">
        <f>IF(H472="","",H472)</f>
        <v/>
      </c>
      <c r="R575" s="40" t="str">
        <f t="shared" si="108"/>
        <v/>
      </c>
      <c r="S575" s="61" t="str">
        <f>IF(I472="","",I472)</f>
        <v/>
      </c>
      <c r="T575" s="42" t="str">
        <f t="shared" si="109"/>
        <v/>
      </c>
      <c r="U575" s="42" t="str">
        <f t="shared" si="110"/>
        <v/>
      </c>
      <c r="V575" s="61" t="str">
        <f t="shared" si="111"/>
        <v/>
      </c>
      <c r="W575" s="42" t="str">
        <f t="shared" si="112"/>
        <v/>
      </c>
      <c r="X575" s="41" t="str">
        <f>IF(J472="","",J472)</f>
        <v/>
      </c>
      <c r="Y575" s="40" t="str">
        <f t="shared" si="113"/>
        <v/>
      </c>
      <c r="Z575" s="47" t="str">
        <f>IF(K472="","",K472)</f>
        <v/>
      </c>
      <c r="AA575" s="47" t="str">
        <f t="shared" si="114"/>
        <v/>
      </c>
      <c r="AB575" s="47" t="str">
        <f t="shared" si="115"/>
        <v/>
      </c>
      <c r="AC575" s="47" t="str">
        <f t="shared" si="116"/>
        <v/>
      </c>
      <c r="AD575" s="47" t="str">
        <f t="shared" si="117"/>
        <v/>
      </c>
      <c r="AE575" s="47" t="str">
        <f>IF(L472="","",L472)</f>
        <v/>
      </c>
      <c r="AF575" s="40" t="str">
        <f>IF(Z575&lt;&gt;"",IF(AG344="",""")],","), ac("),"")</f>
        <v/>
      </c>
    </row>
    <row r="576" spans="1:32" ht="24.75" hidden="1" x14ac:dyDescent="0.4">
      <c r="A576" s="9" t="str">
        <f t="shared" si="118"/>
        <v>/* 96 */   [ac("", "cp0","")],</v>
      </c>
      <c r="B576" s="9">
        <f t="shared" si="119"/>
        <v>96</v>
      </c>
      <c r="C576" s="9" t="str">
        <f t="shared" si="101"/>
        <v/>
      </c>
      <c r="D576" s="39" t="str">
        <f t="shared" si="100"/>
        <v/>
      </c>
      <c r="E576" s="60" t="s">
        <v>52</v>
      </c>
      <c r="F576" s="63" t="str">
        <f>IF(E473="","",E473)</f>
        <v/>
      </c>
      <c r="G576" s="64" t="s">
        <v>53</v>
      </c>
      <c r="H576" s="63" t="str">
        <f t="shared" si="102"/>
        <v/>
      </c>
      <c r="I576" s="64" t="s">
        <v>54</v>
      </c>
      <c r="J576" s="48" t="str">
        <f>IF(F473="","",F473)</f>
        <v/>
      </c>
      <c r="K576" s="40" t="str">
        <f t="shared" si="103"/>
        <v/>
      </c>
      <c r="L576" s="50" t="str">
        <f>IF(G473="","",G473)</f>
        <v/>
      </c>
      <c r="M576" s="51" t="str">
        <f t="shared" si="104"/>
        <v/>
      </c>
      <c r="N576" s="52" t="str">
        <f t="shared" si="105"/>
        <v/>
      </c>
      <c r="O576" s="50" t="str">
        <f t="shared" si="106"/>
        <v/>
      </c>
      <c r="P576" s="52" t="str">
        <f t="shared" si="107"/>
        <v/>
      </c>
      <c r="Q576" s="54" t="str">
        <f>IF(H473="","",H473)</f>
        <v/>
      </c>
      <c r="R576" s="40" t="str">
        <f t="shared" si="108"/>
        <v/>
      </c>
      <c r="S576" s="63" t="str">
        <f>IF(I473="","",I473)</f>
        <v/>
      </c>
      <c r="T576" s="64" t="str">
        <f t="shared" si="109"/>
        <v/>
      </c>
      <c r="U576" s="64" t="str">
        <f t="shared" si="110"/>
        <v/>
      </c>
      <c r="V576" s="63" t="str">
        <f t="shared" si="111"/>
        <v/>
      </c>
      <c r="W576" s="64" t="str">
        <f t="shared" si="112"/>
        <v/>
      </c>
      <c r="X576" s="48" t="str">
        <f>IF(J473="","",J473)</f>
        <v/>
      </c>
      <c r="Y576" s="40" t="str">
        <f t="shared" si="113"/>
        <v/>
      </c>
      <c r="Z576" s="54" t="str">
        <f>IF(K473="","",K473)</f>
        <v/>
      </c>
      <c r="AA576" s="54" t="str">
        <f t="shared" si="114"/>
        <v/>
      </c>
      <c r="AB576" s="54" t="str">
        <f t="shared" si="115"/>
        <v/>
      </c>
      <c r="AC576" s="54" t="str">
        <f t="shared" si="116"/>
        <v/>
      </c>
      <c r="AD576" s="54" t="str">
        <f t="shared" si="117"/>
        <v/>
      </c>
      <c r="AE576" s="54" t="str">
        <f>IF(L473="","",L473)</f>
        <v/>
      </c>
      <c r="AF576" s="40" t="str">
        <f>IF(Z576&lt;&gt;"",IF(AG345="",""")],","), ac("),"")</f>
        <v/>
      </c>
    </row>
    <row r="577" spans="1:32" ht="24.75" hidden="1" x14ac:dyDescent="0.4">
      <c r="A577" s="9" t="str">
        <f t="shared" si="118"/>
        <v>/* 97 */   [ac("", "cp0","")],</v>
      </c>
      <c r="B577" s="9">
        <f t="shared" si="119"/>
        <v>97</v>
      </c>
      <c r="C577" s="9" t="str">
        <f t="shared" si="101"/>
        <v/>
      </c>
      <c r="D577" s="39" t="str">
        <f t="shared" si="100"/>
        <v/>
      </c>
      <c r="E577" s="60" t="s">
        <v>52</v>
      </c>
      <c r="F577" s="61" t="str">
        <f>IF(E474="","",E474)</f>
        <v/>
      </c>
      <c r="G577" s="42" t="s">
        <v>53</v>
      </c>
      <c r="H577" s="61" t="str">
        <f t="shared" si="102"/>
        <v/>
      </c>
      <c r="I577" s="42" t="s">
        <v>54</v>
      </c>
      <c r="J577" s="41" t="str">
        <f>IF(F474="","",F474)</f>
        <v/>
      </c>
      <c r="K577" s="40" t="str">
        <f t="shared" si="103"/>
        <v/>
      </c>
      <c r="L577" s="43" t="str">
        <f>IF(G474="","",G474)</f>
        <v/>
      </c>
      <c r="M577" s="44" t="str">
        <f t="shared" si="104"/>
        <v/>
      </c>
      <c r="N577" s="45" t="str">
        <f t="shared" si="105"/>
        <v/>
      </c>
      <c r="O577" s="43" t="str">
        <f t="shared" si="106"/>
        <v/>
      </c>
      <c r="P577" s="45" t="str">
        <f t="shared" si="107"/>
        <v/>
      </c>
      <c r="Q577" s="47" t="str">
        <f>IF(H474="","",H474)</f>
        <v/>
      </c>
      <c r="R577" s="40" t="str">
        <f t="shared" si="108"/>
        <v/>
      </c>
      <c r="S577" s="61" t="str">
        <f>IF(I474="","",I474)</f>
        <v/>
      </c>
      <c r="T577" s="42" t="str">
        <f t="shared" si="109"/>
        <v/>
      </c>
      <c r="U577" s="42" t="str">
        <f t="shared" si="110"/>
        <v/>
      </c>
      <c r="V577" s="61" t="str">
        <f t="shared" si="111"/>
        <v/>
      </c>
      <c r="W577" s="42" t="str">
        <f t="shared" si="112"/>
        <v/>
      </c>
      <c r="X577" s="41" t="str">
        <f>IF(J474="","",J474)</f>
        <v/>
      </c>
      <c r="Y577" s="40" t="str">
        <f t="shared" si="113"/>
        <v/>
      </c>
      <c r="Z577" s="47" t="str">
        <f>IF(K474="","",K474)</f>
        <v/>
      </c>
      <c r="AA577" s="47" t="str">
        <f t="shared" si="114"/>
        <v/>
      </c>
      <c r="AB577" s="47" t="str">
        <f t="shared" si="115"/>
        <v/>
      </c>
      <c r="AC577" s="47" t="str">
        <f t="shared" si="116"/>
        <v/>
      </c>
      <c r="AD577" s="47" t="str">
        <f t="shared" si="117"/>
        <v/>
      </c>
      <c r="AE577" s="47" t="str">
        <f>IF(L474="","",L474)</f>
        <v/>
      </c>
      <c r="AF577" s="40" t="str">
        <f>IF(Z577&lt;&gt;"",IF(AG346="",""")],","), ac("),"")</f>
        <v/>
      </c>
    </row>
    <row r="578" spans="1:32" ht="24.75" hidden="1" x14ac:dyDescent="0.4">
      <c r="A578" s="9" t="str">
        <f t="shared" si="118"/>
        <v>/* 98 */   [ac("", "cp0","")],</v>
      </c>
      <c r="B578" s="9">
        <f t="shared" si="119"/>
        <v>98</v>
      </c>
      <c r="C578" s="9" t="str">
        <f t="shared" si="101"/>
        <v/>
      </c>
      <c r="D578" s="39" t="str">
        <f t="shared" si="100"/>
        <v/>
      </c>
      <c r="E578" s="60" t="s">
        <v>52</v>
      </c>
      <c r="F578" s="63" t="str">
        <f>IF(E475="","",E475)</f>
        <v/>
      </c>
      <c r="G578" s="64" t="s">
        <v>53</v>
      </c>
      <c r="H578" s="63" t="str">
        <f t="shared" si="102"/>
        <v/>
      </c>
      <c r="I578" s="64" t="s">
        <v>54</v>
      </c>
      <c r="J578" s="48" t="str">
        <f>IF(F475="","",F475)</f>
        <v/>
      </c>
      <c r="K578" s="40" t="str">
        <f t="shared" si="103"/>
        <v/>
      </c>
      <c r="L578" s="50" t="str">
        <f>IF(G475="","",G475)</f>
        <v/>
      </c>
      <c r="M578" s="51" t="str">
        <f t="shared" si="104"/>
        <v/>
      </c>
      <c r="N578" s="52" t="str">
        <f t="shared" si="105"/>
        <v/>
      </c>
      <c r="O578" s="50" t="str">
        <f t="shared" si="106"/>
        <v/>
      </c>
      <c r="P578" s="52" t="str">
        <f t="shared" si="107"/>
        <v/>
      </c>
      <c r="Q578" s="54" t="str">
        <f>IF(H475="","",H475)</f>
        <v/>
      </c>
      <c r="R578" s="40" t="str">
        <f t="shared" si="108"/>
        <v/>
      </c>
      <c r="S578" s="63" t="str">
        <f>IF(I475="","",I475)</f>
        <v/>
      </c>
      <c r="T578" s="64" t="str">
        <f t="shared" si="109"/>
        <v/>
      </c>
      <c r="U578" s="64" t="str">
        <f t="shared" si="110"/>
        <v/>
      </c>
      <c r="V578" s="63" t="str">
        <f t="shared" si="111"/>
        <v/>
      </c>
      <c r="W578" s="64" t="str">
        <f t="shared" si="112"/>
        <v/>
      </c>
      <c r="X578" s="48" t="str">
        <f>IF(J475="","",J475)</f>
        <v/>
      </c>
      <c r="Y578" s="40" t="str">
        <f t="shared" si="113"/>
        <v/>
      </c>
      <c r="Z578" s="54" t="str">
        <f>IF(K475="","",K475)</f>
        <v/>
      </c>
      <c r="AA578" s="54" t="str">
        <f t="shared" si="114"/>
        <v/>
      </c>
      <c r="AB578" s="54" t="str">
        <f t="shared" si="115"/>
        <v/>
      </c>
      <c r="AC578" s="54" t="str">
        <f t="shared" si="116"/>
        <v/>
      </c>
      <c r="AD578" s="54" t="str">
        <f t="shared" si="117"/>
        <v/>
      </c>
      <c r="AE578" s="54" t="str">
        <f>IF(L475="","",L475)</f>
        <v/>
      </c>
      <c r="AF578" s="40" t="str">
        <f>IF(Z578&lt;&gt;"",IF(AG347="",""")],","), ac("),"")</f>
        <v/>
      </c>
    </row>
    <row r="579" spans="1:32" ht="24.75" hidden="1" x14ac:dyDescent="0.4">
      <c r="A579" s="9" t="str">
        <f t="shared" si="118"/>
        <v>/* 99 */   [ac("", "cp0","")],</v>
      </c>
      <c r="B579" s="9">
        <f t="shared" si="119"/>
        <v>99</v>
      </c>
      <c r="C579" s="9" t="str">
        <f t="shared" si="101"/>
        <v/>
      </c>
      <c r="D579" s="39" t="str">
        <f t="shared" si="100"/>
        <v/>
      </c>
      <c r="E579" s="60" t="s">
        <v>52</v>
      </c>
      <c r="F579" s="61" t="str">
        <f>IF(E476="","",E476)</f>
        <v/>
      </c>
      <c r="G579" s="42" t="s">
        <v>53</v>
      </c>
      <c r="H579" s="61" t="str">
        <f t="shared" si="102"/>
        <v/>
      </c>
      <c r="I579" s="42" t="s">
        <v>54</v>
      </c>
      <c r="J579" s="41" t="str">
        <f>IF(F476="","",F476)</f>
        <v/>
      </c>
      <c r="K579" s="40" t="str">
        <f t="shared" si="103"/>
        <v/>
      </c>
      <c r="L579" s="43" t="str">
        <f>IF(G476="","",G476)</f>
        <v/>
      </c>
      <c r="M579" s="44" t="str">
        <f t="shared" si="104"/>
        <v/>
      </c>
      <c r="N579" s="45" t="str">
        <f t="shared" si="105"/>
        <v/>
      </c>
      <c r="O579" s="43" t="str">
        <f t="shared" si="106"/>
        <v/>
      </c>
      <c r="P579" s="45" t="str">
        <f t="shared" si="107"/>
        <v/>
      </c>
      <c r="Q579" s="47" t="str">
        <f>IF(H476="","",H476)</f>
        <v/>
      </c>
      <c r="R579" s="40" t="str">
        <f t="shared" si="108"/>
        <v/>
      </c>
      <c r="S579" s="61" t="str">
        <f>IF(I476="","",I476)</f>
        <v/>
      </c>
      <c r="T579" s="42" t="str">
        <f t="shared" si="109"/>
        <v/>
      </c>
      <c r="U579" s="42" t="str">
        <f t="shared" si="110"/>
        <v/>
      </c>
      <c r="V579" s="61" t="str">
        <f t="shared" si="111"/>
        <v/>
      </c>
      <c r="W579" s="42" t="str">
        <f t="shared" si="112"/>
        <v/>
      </c>
      <c r="X579" s="41" t="str">
        <f>IF(J476="","",J476)</f>
        <v/>
      </c>
      <c r="Y579" s="40" t="str">
        <f t="shared" si="113"/>
        <v/>
      </c>
      <c r="Z579" s="47" t="str">
        <f>IF(K476="","",K476)</f>
        <v/>
      </c>
      <c r="AA579" s="47" t="str">
        <f t="shared" si="114"/>
        <v/>
      </c>
      <c r="AB579" s="47" t="str">
        <f t="shared" si="115"/>
        <v/>
      </c>
      <c r="AC579" s="47" t="str">
        <f t="shared" si="116"/>
        <v/>
      </c>
      <c r="AD579" s="47" t="str">
        <f t="shared" si="117"/>
        <v/>
      </c>
      <c r="AE579" s="47" t="str">
        <f>IF(L476="","",L476)</f>
        <v/>
      </c>
      <c r="AF579" s="40" t="str">
        <f>IF(Z579&lt;&gt;"",IF(AG348="",""")],","), ac("),"")</f>
        <v/>
      </c>
    </row>
    <row r="580" spans="1:32" ht="24.75" hidden="1" x14ac:dyDescent="0.4">
      <c r="A580" s="9" t="str">
        <f t="shared" si="118"/>
        <v>/* 100 */   [ac("", "cp0","")],</v>
      </c>
      <c r="B580" s="9">
        <f t="shared" si="119"/>
        <v>100</v>
      </c>
      <c r="C580" s="9" t="str">
        <f t="shared" si="101"/>
        <v/>
      </c>
      <c r="D580" s="39" t="str">
        <f t="shared" si="100"/>
        <v/>
      </c>
      <c r="E580" s="60" t="s">
        <v>52</v>
      </c>
      <c r="F580" s="63" t="str">
        <f>IF(E477="","",E477)</f>
        <v/>
      </c>
      <c r="G580" s="64" t="s">
        <v>53</v>
      </c>
      <c r="H580" s="63" t="str">
        <f t="shared" si="102"/>
        <v/>
      </c>
      <c r="I580" s="64" t="s">
        <v>54</v>
      </c>
      <c r="J580" s="48" t="str">
        <f>IF(F477="","",F477)</f>
        <v/>
      </c>
      <c r="K580" s="40" t="str">
        <f t="shared" si="103"/>
        <v/>
      </c>
      <c r="L580" s="50" t="str">
        <f>IF(G477="","",G477)</f>
        <v/>
      </c>
      <c r="M580" s="51" t="str">
        <f t="shared" si="104"/>
        <v/>
      </c>
      <c r="N580" s="52" t="str">
        <f t="shared" si="105"/>
        <v/>
      </c>
      <c r="O580" s="50" t="str">
        <f t="shared" si="106"/>
        <v/>
      </c>
      <c r="P580" s="52" t="str">
        <f t="shared" si="107"/>
        <v/>
      </c>
      <c r="Q580" s="54" t="str">
        <f>IF(H477="","",H477)</f>
        <v/>
      </c>
      <c r="R580" s="40" t="str">
        <f t="shared" si="108"/>
        <v/>
      </c>
      <c r="S580" s="63" t="str">
        <f>IF(I477="","",I477)</f>
        <v/>
      </c>
      <c r="T580" s="64" t="str">
        <f t="shared" si="109"/>
        <v/>
      </c>
      <c r="U580" s="64" t="str">
        <f t="shared" si="110"/>
        <v/>
      </c>
      <c r="V580" s="63" t="str">
        <f t="shared" si="111"/>
        <v/>
      </c>
      <c r="W580" s="64" t="str">
        <f t="shared" si="112"/>
        <v/>
      </c>
      <c r="X580" s="48" t="str">
        <f>IF(J477="","",J477)</f>
        <v/>
      </c>
      <c r="Y580" s="40" t="str">
        <f t="shared" si="113"/>
        <v/>
      </c>
      <c r="Z580" s="54" t="str">
        <f>IF(K477="","",K477)</f>
        <v/>
      </c>
      <c r="AA580" s="54" t="str">
        <f t="shared" si="114"/>
        <v/>
      </c>
      <c r="AB580" s="54" t="str">
        <f t="shared" si="115"/>
        <v/>
      </c>
      <c r="AC580" s="54" t="str">
        <f t="shared" si="116"/>
        <v/>
      </c>
      <c r="AD580" s="54" t="str">
        <f t="shared" si="117"/>
        <v/>
      </c>
      <c r="AE580" s="54" t="str">
        <f>IF(L477="","",L477)</f>
        <v/>
      </c>
      <c r="AF580" s="40" t="str">
        <f>IF(Z580&lt;&gt;"",IF(AG349="",""")],","), ac("),"")</f>
        <v/>
      </c>
    </row>
    <row r="581" spans="1:32" ht="24.75" hidden="1" x14ac:dyDescent="0.4">
      <c r="A581" s="9" t="str">
        <f>_xlfn.CONCAT("/* ",B581, " */   ","[ac(""",""", ""","","cp0","""",","""")],")</f>
        <v>/* 101 */   [ac("", "cp0","")],</v>
      </c>
      <c r="B581" s="9">
        <f t="shared" si="119"/>
        <v>101</v>
      </c>
      <c r="C581" s="9" t="str">
        <f t="shared" si="101"/>
        <v/>
      </c>
      <c r="D581" s="39" t="str">
        <f t="shared" si="100"/>
        <v/>
      </c>
      <c r="E581" s="60" t="s">
        <v>52</v>
      </c>
      <c r="F581" s="61" t="str">
        <f>IF(E478="","",E478)</f>
        <v/>
      </c>
      <c r="G581" s="42" t="s">
        <v>53</v>
      </c>
      <c r="H581" s="61" t="str">
        <f t="shared" si="102"/>
        <v/>
      </c>
      <c r="I581" s="42" t="s">
        <v>54</v>
      </c>
      <c r="J581" s="41" t="str">
        <f>IF(F478="","",F478)</f>
        <v/>
      </c>
      <c r="K581" s="40" t="str">
        <f t="shared" si="103"/>
        <v/>
      </c>
      <c r="L581" s="43" t="str">
        <f>IF(G478="","",G478)</f>
        <v/>
      </c>
      <c r="M581" s="44" t="str">
        <f t="shared" si="104"/>
        <v/>
      </c>
      <c r="N581" s="45" t="str">
        <f t="shared" si="105"/>
        <v/>
      </c>
      <c r="O581" s="43" t="str">
        <f t="shared" si="106"/>
        <v/>
      </c>
      <c r="P581" s="45" t="str">
        <f t="shared" si="107"/>
        <v/>
      </c>
      <c r="Q581" s="47" t="str">
        <f>IF(H478="","",H478)</f>
        <v/>
      </c>
      <c r="R581" s="40" t="str">
        <f t="shared" si="108"/>
        <v/>
      </c>
      <c r="S581" s="61" t="str">
        <f>IF(I478="","",I478)</f>
        <v/>
      </c>
      <c r="T581" s="42" t="str">
        <f t="shared" si="109"/>
        <v/>
      </c>
      <c r="U581" s="42" t="str">
        <f t="shared" si="110"/>
        <v/>
      </c>
      <c r="V581" s="61" t="str">
        <f t="shared" si="111"/>
        <v/>
      </c>
      <c r="W581" s="42" t="str">
        <f t="shared" si="112"/>
        <v/>
      </c>
      <c r="X581" s="41" t="str">
        <f>IF(J478="","",J478)</f>
        <v/>
      </c>
      <c r="Y581" s="40" t="str">
        <f t="shared" si="113"/>
        <v/>
      </c>
      <c r="Z581" s="47" t="str">
        <f>IF(K478="","",K478)</f>
        <v/>
      </c>
      <c r="AA581" s="47" t="str">
        <f t="shared" si="114"/>
        <v/>
      </c>
      <c r="AB581" s="47" t="str">
        <f t="shared" si="115"/>
        <v/>
      </c>
      <c r="AC581" s="47" t="str">
        <f t="shared" si="116"/>
        <v/>
      </c>
      <c r="AD581" s="47" t="str">
        <f t="shared" si="117"/>
        <v/>
      </c>
      <c r="AE581" s="47" t="str">
        <f>IF(L478="","",L478)</f>
        <v/>
      </c>
      <c r="AF581" s="40" t="str">
        <f>IF(Z581&lt;&gt;"",IF(AG350="",""")],","), ac("),"")</f>
        <v/>
      </c>
    </row>
    <row r="582" spans="1:32" x14ac:dyDescent="0.4">
      <c r="A582" s="9"/>
      <c r="C582" s="80" t="s">
        <v>61</v>
      </c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</row>
    <row r="583" spans="1:32" x14ac:dyDescent="0.4">
      <c r="C583" s="37" t="s">
        <v>72</v>
      </c>
      <c r="M583" s="65"/>
      <c r="N583" s="66"/>
      <c r="P583" s="67"/>
    </row>
    <row r="584" spans="1:32" x14ac:dyDescent="0.4">
      <c r="C584" s="57" t="s">
        <v>13</v>
      </c>
      <c r="M584" s="65"/>
      <c r="N584" s="66"/>
    </row>
    <row r="585" spans="1:32" x14ac:dyDescent="0.4">
      <c r="C585" s="57" t="s">
        <v>62</v>
      </c>
    </row>
    <row r="586" spans="1:32" x14ac:dyDescent="0.4">
      <c r="C586" s="57" t="s">
        <v>17</v>
      </c>
    </row>
    <row r="587" spans="1:32" x14ac:dyDescent="0.4">
      <c r="A587" s="9"/>
      <c r="C587" s="18" t="s">
        <v>88</v>
      </c>
      <c r="AB587" s="9"/>
      <c r="AC587" s="9"/>
      <c r="AD587" s="9"/>
      <c r="AE587" s="9"/>
      <c r="AF587" s="17"/>
    </row>
    <row r="588" spans="1:32" x14ac:dyDescent="0.4">
      <c r="C588" s="18" t="s">
        <v>89</v>
      </c>
    </row>
    <row r="589" spans="1:32" x14ac:dyDescent="0.4">
      <c r="C589" s="18" t="s">
        <v>73</v>
      </c>
    </row>
    <row r="590" spans="1:32" x14ac:dyDescent="0.4">
      <c r="C590" s="18" t="s">
        <v>74</v>
      </c>
    </row>
    <row r="591" spans="1:32" x14ac:dyDescent="0.4">
      <c r="C591" s="18" t="s">
        <v>75</v>
      </c>
    </row>
    <row r="592" spans="1:32" x14ac:dyDescent="0.4">
      <c r="C592" s="18" t="s">
        <v>76</v>
      </c>
    </row>
    <row r="593" spans="1:32" x14ac:dyDescent="0.4">
      <c r="C593" s="81" t="s">
        <v>63</v>
      </c>
    </row>
    <row r="594" spans="1:32" x14ac:dyDescent="0.4">
      <c r="A594" s="9"/>
      <c r="C594" s="81" t="s">
        <v>39</v>
      </c>
      <c r="AB594" s="9"/>
      <c r="AC594" s="9"/>
      <c r="AD594" s="9"/>
      <c r="AE594" s="9"/>
      <c r="AF594" s="17"/>
    </row>
    <row r="595" spans="1:32" x14ac:dyDescent="0.4">
      <c r="A595" s="9"/>
      <c r="C595" s="18" t="s">
        <v>83</v>
      </c>
      <c r="AB595" s="9"/>
      <c r="AC595" s="9"/>
      <c r="AD595" s="9"/>
      <c r="AE595" s="9"/>
      <c r="AF595" s="17"/>
    </row>
    <row r="596" spans="1:32" x14ac:dyDescent="0.4">
      <c r="A596" s="9"/>
      <c r="C596" s="18" t="s">
        <v>82</v>
      </c>
      <c r="AB596" s="9"/>
      <c r="AC596" s="9"/>
      <c r="AD596" s="9"/>
      <c r="AE596" s="9"/>
      <c r="AF596" s="17"/>
    </row>
    <row r="597" spans="1:32" x14ac:dyDescent="0.4">
      <c r="A597" s="9"/>
      <c r="C597" s="18" t="s">
        <v>84</v>
      </c>
      <c r="AB597" s="9"/>
      <c r="AC597" s="9"/>
      <c r="AD597" s="9"/>
      <c r="AE597" s="9"/>
      <c r="AF597" s="17"/>
    </row>
    <row r="598" spans="1:32" x14ac:dyDescent="0.4">
      <c r="A598" s="9"/>
      <c r="C598" s="18" t="s">
        <v>81</v>
      </c>
      <c r="AB598" s="9"/>
      <c r="AC598" s="9"/>
      <c r="AD598" s="9"/>
      <c r="AE598" s="9"/>
      <c r="AF598" s="17"/>
    </row>
    <row r="599" spans="1:32" x14ac:dyDescent="0.4">
      <c r="A599" s="9"/>
      <c r="C599" s="18" t="s">
        <v>85</v>
      </c>
      <c r="AB599" s="9"/>
      <c r="AC599" s="9"/>
      <c r="AD599" s="9"/>
      <c r="AE599" s="9"/>
      <c r="AF599" s="17"/>
    </row>
    <row r="600" spans="1:32" x14ac:dyDescent="0.4">
      <c r="A600" s="9"/>
      <c r="C600" s="18" t="s">
        <v>64</v>
      </c>
      <c r="AB600" s="9"/>
      <c r="AC600" s="9"/>
      <c r="AD600" s="9"/>
      <c r="AE600" s="9"/>
      <c r="AF600" s="17"/>
    </row>
    <row r="601" spans="1:32" x14ac:dyDescent="0.4">
      <c r="A601" s="9"/>
      <c r="C601" s="81" t="s">
        <v>65</v>
      </c>
      <c r="AB601" s="9"/>
      <c r="AC601" s="9"/>
      <c r="AD601" s="9"/>
      <c r="AE601" s="9"/>
      <c r="AF601" s="17"/>
    </row>
    <row r="602" spans="1:32" x14ac:dyDescent="0.4">
      <c r="A602" s="9"/>
      <c r="C602" s="57" t="s">
        <v>13</v>
      </c>
      <c r="AB602" s="9"/>
      <c r="AC602" s="9"/>
      <c r="AD602" s="9"/>
      <c r="AE602" s="9"/>
      <c r="AF602" s="17"/>
    </row>
    <row r="603" spans="1:32" x14ac:dyDescent="0.4">
      <c r="A603" s="9"/>
      <c r="C603" s="57" t="s">
        <v>66</v>
      </c>
      <c r="AB603" s="9"/>
      <c r="AC603" s="9"/>
      <c r="AD603" s="9"/>
      <c r="AE603" s="9"/>
      <c r="AF603" s="17"/>
    </row>
    <row r="604" spans="1:32" x14ac:dyDescent="0.4">
      <c r="A604" s="9"/>
      <c r="C604" s="57" t="s">
        <v>17</v>
      </c>
      <c r="AB604" s="9"/>
      <c r="AC604" s="9"/>
      <c r="AD604" s="9"/>
      <c r="AE604" s="9"/>
      <c r="AF604" s="17"/>
    </row>
    <row r="605" spans="1:32" x14ac:dyDescent="0.4">
      <c r="A605" s="9"/>
      <c r="C605" s="18" t="s">
        <v>77</v>
      </c>
      <c r="AB605" s="9"/>
      <c r="AC605" s="9"/>
      <c r="AD605" s="9"/>
      <c r="AE605" s="9"/>
      <c r="AF605" s="17"/>
    </row>
    <row r="606" spans="1:32" x14ac:dyDescent="0.4">
      <c r="A606" s="9"/>
      <c r="C606" s="57" t="s">
        <v>1</v>
      </c>
      <c r="AB606" s="9"/>
      <c r="AC606" s="9"/>
      <c r="AD606" s="9"/>
      <c r="AE606" s="9"/>
      <c r="AF606" s="17"/>
    </row>
    <row r="607" spans="1:32" x14ac:dyDescent="0.4">
      <c r="A607" s="9"/>
      <c r="C607" s="57" t="s">
        <v>13</v>
      </c>
      <c r="AB607" s="9"/>
      <c r="AC607" s="9"/>
      <c r="AD607" s="9"/>
      <c r="AE607" s="9"/>
      <c r="AF607" s="17"/>
    </row>
    <row r="608" spans="1:32" x14ac:dyDescent="0.4">
      <c r="A608" s="9"/>
      <c r="C608" s="57" t="s">
        <v>67</v>
      </c>
      <c r="AB608" s="9"/>
      <c r="AC608" s="9"/>
      <c r="AD608" s="9"/>
      <c r="AE608" s="9"/>
      <c r="AF608" s="17"/>
    </row>
    <row r="609" spans="1:32" x14ac:dyDescent="0.4">
      <c r="A609" s="9"/>
      <c r="C609" s="57" t="s">
        <v>17</v>
      </c>
      <c r="AB609" s="9"/>
      <c r="AC609" s="9"/>
      <c r="AD609" s="9"/>
      <c r="AE609" s="9"/>
      <c r="AF609" s="17"/>
    </row>
    <row r="610" spans="1:32" x14ac:dyDescent="0.4">
      <c r="A610" s="9"/>
      <c r="C610" s="18" t="s">
        <v>80</v>
      </c>
      <c r="AB610" s="9"/>
      <c r="AC610" s="9"/>
      <c r="AD610" s="9"/>
      <c r="AE610" s="9"/>
      <c r="AF610" s="17"/>
    </row>
    <row r="611" spans="1:32" x14ac:dyDescent="0.4">
      <c r="A611" s="9"/>
      <c r="C611" s="18" t="s">
        <v>78</v>
      </c>
      <c r="AB611" s="9"/>
      <c r="AC611" s="9"/>
      <c r="AD611" s="9"/>
      <c r="AE611" s="9"/>
      <c r="AF611" s="17"/>
    </row>
    <row r="612" spans="1:32" x14ac:dyDescent="0.4">
      <c r="A612" s="9"/>
      <c r="C612" s="18" t="s">
        <v>79</v>
      </c>
      <c r="AB612" s="9"/>
      <c r="AC612" s="9"/>
      <c r="AD612" s="9"/>
      <c r="AE612" s="9"/>
      <c r="AF612" s="17"/>
    </row>
    <row r="613" spans="1:32" x14ac:dyDescent="0.4">
      <c r="A613" s="9"/>
      <c r="C613" s="18" t="s">
        <v>86</v>
      </c>
      <c r="AB613" s="9"/>
      <c r="AC613" s="9"/>
      <c r="AD613" s="9"/>
      <c r="AE613" s="9"/>
      <c r="AF613" s="17"/>
    </row>
    <row r="614" spans="1:32" x14ac:dyDescent="0.4">
      <c r="A614" s="9"/>
      <c r="C614" s="81" t="s">
        <v>68</v>
      </c>
      <c r="AB614" s="9"/>
      <c r="AC614" s="9"/>
      <c r="AD614" s="9"/>
      <c r="AE614" s="9"/>
      <c r="AF614" s="17"/>
    </row>
    <row r="615" spans="1:32" x14ac:dyDescent="0.4">
      <c r="A615" s="9"/>
      <c r="C615" s="81" t="s">
        <v>69</v>
      </c>
      <c r="AB615" s="9"/>
      <c r="AC615" s="9"/>
      <c r="AD615" s="9"/>
      <c r="AE615" s="9"/>
      <c r="AF615" s="17"/>
    </row>
    <row r="616" spans="1:32" x14ac:dyDescent="0.4">
      <c r="A616" s="9"/>
      <c r="C616" s="18"/>
      <c r="AB616" s="9"/>
      <c r="AC616" s="9"/>
      <c r="AD616" s="9"/>
      <c r="AE616" s="9"/>
      <c r="AF616" s="17"/>
    </row>
  </sheetData>
  <mergeCells count="4">
    <mergeCell ref="B1:E1"/>
    <mergeCell ref="F1:G1"/>
    <mergeCell ref="H1:K1"/>
    <mergeCell ref="I147:L147"/>
  </mergeCells>
  <hyperlinks>
    <hyperlink ref="B1:E1" location="Indice!A1" display="Indice!A1" xr:uid="{3E81EDCE-92E9-4C45-8FE6-CA794B2542A2}"/>
    <hyperlink ref="I147:L147" location="'Codigo Canto'!A1" display="Indice Cantos" xr:uid="{D82CA6B5-3AF2-4B9E-B0B9-D3C93FCB82D4}"/>
    <hyperlink ref="F1:G1" location="'ACORDES ☺'!A1" display="ACORDE" xr:uid="{8213838C-34EB-4724-8337-75DAEBEE28EB}"/>
  </hyperlink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MARIA, MADRE MIA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Baez</dc:creator>
  <cp:lastModifiedBy>Carlos Baez</cp:lastModifiedBy>
  <dcterms:created xsi:type="dcterms:W3CDTF">2025-06-06T16:54:30Z</dcterms:created>
  <dcterms:modified xsi:type="dcterms:W3CDTF">2025-06-06T20:16:22Z</dcterms:modified>
</cp:coreProperties>
</file>